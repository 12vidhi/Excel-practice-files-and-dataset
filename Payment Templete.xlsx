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2D0B130-D25E-4DC2-8D5D-93F899F9FA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13" i="1" l="1"/>
  <c r="H13" i="1"/>
  <c r="I13" i="1"/>
  <c r="G12" i="1"/>
  <c r="H12" i="1"/>
  <c r="I12" i="1"/>
  <c r="G11" i="1"/>
  <c r="H11" i="1"/>
  <c r="I11" i="1"/>
  <c r="G10" i="1"/>
  <c r="H10" i="1"/>
  <c r="I10" i="1"/>
  <c r="I3" i="1"/>
  <c r="I4" i="1"/>
  <c r="I5" i="1"/>
  <c r="I6" i="1"/>
  <c r="I7" i="1"/>
  <c r="I8" i="1"/>
  <c r="I9" i="1"/>
  <c r="G3" i="1"/>
  <c r="G4" i="1"/>
  <c r="G5" i="1"/>
  <c r="G6" i="1"/>
  <c r="G7" i="1"/>
  <c r="G8" i="1"/>
  <c r="G9" i="1"/>
  <c r="H9" i="1"/>
  <c r="H3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<sst xmlns="http://schemas.openxmlformats.org/spreadsheetml/2006/main" count="11" uniqueCount="11">
  <si>
    <t>S.no</t>
  </si>
  <si>
    <t>Client Name</t>
  </si>
  <si>
    <t>Date -&gt;</t>
  </si>
  <si>
    <t>Tax Invoice Amount</t>
  </si>
  <si>
    <t>Payment received</t>
  </si>
  <si>
    <t>Collection %</t>
  </si>
  <si>
    <t xml:space="preserve">Balance Amount </t>
  </si>
  <si>
    <t>Balance %</t>
  </si>
  <si>
    <t>Important Remark</t>
  </si>
  <si>
    <t>Date -&gt;.</t>
  </si>
  <si>
    <t xml:space="preserve">Rishab singh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</si>
</sst>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0"/>
      <name val="Avenir Book"/>
      <family val="2"/>
    </font>
    <font>
      <b/>
      <sz val="12"/>
      <color theme="9" tint="-0.249977111117893"/>
      <name val="Avenir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1" fontId="0" fillId="0" borderId="0" xfId="0" applyNumberFormat="1"/>
    <xf numFmtId="9" fontId="0" fillId="0" borderId="0" xfId="1" applyFont="1" applyAlignment="1">
      <alignment horizontal="right"/>
    </xf>
    <xf numFmtId="9" fontId="2" fillId="0" borderId="0" xfId="1" applyFont="1" applyAlignment="1">
      <alignment horizontal="right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" fontId="0" fillId="5" borderId="0" xfId="0" applyNumberFormat="1" applyFill="1"/>
    <xf numFmtId="0" fontId="4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2" fillId="0" borderId="0" xfId="1" applyNumberFormat="1" applyFont="1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border outline="0">
        <top style="thin">
          <color indexed="64"/>
        </top>
      </border>
    </dxf>
    <dxf>
      <font>
        <color theme="1"/>
      </font>
      <fill>
        <patternFill>
          <bgColor theme="0" tint="-0.14996795556505021"/>
        </patternFill>
      </fill>
    </dxf>
  </dxfs>
  <tableStyles count="1" defaultTableStyle="TableStyleMedium2" defaultPivotStyle="PivotStyleLight16">
    <tableStyle name="Table Style 1" pivot="0" count="1" xr9:uid="{00000000-0011-0000-FFFF-FFFF00000000}">
      <tableStyleElement type="secondRowStripe" dxfId="10"/>
    </tableStyle>
  </tableStyles>
  <colors>
    <mruColors>
      <color rgb="FFD9D9D9"/>
      <color rgb="FF1F4E7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38101</xdr:rowOff>
    </xdr:from>
    <xdr:to>
      <xdr:col>2</xdr:col>
      <xdr:colOff>771524</xdr:colOff>
      <xdr:row>1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4F3C5-6A46-EEB8-20E9-E0D2DA93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8101"/>
          <a:ext cx="2600324" cy="76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J13" headerRowCount="0" insertRowShift="1" totalsRowShown="0" tableBorderDxfId="9">
  <tableColumns count="10">
    <tableColumn id="1" xr3:uid="{00000000-0010-0000-0000-000001000000}" name="1"/>
    <tableColumn id="2" xr3:uid="{00000000-0010-0000-0000-000002000000}" name="Column1"/>
    <tableColumn id="3" xr3:uid="{00000000-0010-0000-0000-000003000000}" name="Column2"/>
    <tableColumn id="4" xr3:uid="{00000000-0010-0000-0000-000004000000}" name="180000" headerRowDxfId="8" dataDxfId="7"/>
    <tableColumn id="5" xr3:uid="{00000000-0010-0000-0000-000005000000}" name="Column3"/>
    <tableColumn id="6" xr3:uid="{00000000-0010-0000-0000-000006000000}" name="25,000" headerRowDxfId="6" dataDxfId="5"/>
    <tableColumn id="7" xr3:uid="{00000000-0010-0000-0000-000007000000}" name="Column4" headerRowDxfId="4" dataDxfId="3" headerRowCellStyle="Percent" dataCellStyle="Percent">
      <calculatedColumnFormula>IFERROR(Table1[[#This Row],[25,000]]/Table1[[#This Row],[180000]], "0")</calculatedColumnFormula>
    </tableColumn>
    <tableColumn id="8" xr3:uid="{00000000-0010-0000-0000-000008000000}" name="Column5" dataDxfId="2">
      <calculatedColumnFormula>Table1[[#This Row],[180000]]-Table1[[#This Row],[25,000]]</calculatedColumnFormula>
    </tableColumn>
    <tableColumn id="9" xr3:uid="{00000000-0010-0000-0000-000009000000}" name="Column6" headerRowDxfId="1" dataDxfId="0" headerRowCellStyle="Percent" dataCellStyle="Percent">
      <calculatedColumnFormula>IFERROR((Table1[[#This Row],[180000]]-Table1[[#This Row],[25,000]])/Table1[[#This Row],[180000]],"0")</calculatedColumnFormula>
    </tableColumn>
    <tableColumn id="10" xr3:uid="{00000000-0010-0000-0000-00000A000000}" name="Column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F9" sqref="F9"/>
    </sheetView>
  </sheetViews>
  <sheetFormatPr defaultRowHeight="14.5"/>
  <cols>
    <col min="1" max="1" width="7.54296875" customWidth="1"/>
    <col min="2" max="2" width="20.1796875" customWidth="1"/>
    <col min="3" max="3" width="19.54296875" customWidth="1"/>
    <col min="4" max="4" width="21.1796875" customWidth="1"/>
    <col min="5" max="5" width="18" customWidth="1"/>
    <col min="6" max="6" width="17.81640625" customWidth="1"/>
    <col min="7" max="7" width="15.7265625" style="1" customWidth="1"/>
    <col min="8" max="8" width="18.453125" style="1" customWidth="1"/>
    <col min="9" max="9" width="13.453125" style="1" customWidth="1"/>
    <col min="10" max="10" width="19.1796875" customWidth="1"/>
  </cols>
  <sheetData>
    <row r="1" spans="1:10" ht="60.75" customHeight="1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40.5" customHeight="1">
      <c r="A2" s="9" t="s">
        <v>0</v>
      </c>
      <c r="B2" s="9" t="s">
        <v>1</v>
      </c>
      <c r="C2" s="6" t="s">
        <v>2</v>
      </c>
      <c r="D2" s="7" t="s">
        <v>3</v>
      </c>
      <c r="E2" s="10" t="s">
        <v>9</v>
      </c>
      <c r="F2" s="10" t="s">
        <v>4</v>
      </c>
      <c r="G2" s="7" t="s">
        <v>5</v>
      </c>
      <c r="H2" s="10" t="s">
        <v>6</v>
      </c>
      <c r="I2" s="7" t="s">
        <v>7</v>
      </c>
      <c r="J2" s="11" t="s">
        <v>8</v>
      </c>
    </row>
    <row r="3" spans="1:10">
      <c r="A3">
        <v>1</v>
      </c>
      <c r="B3" t="s">
        <v>10</v>
      </c>
      <c r="C3" s="15">
        <v>45690</v>
      </c>
      <c r="D3" s="8">
        <v>200000</v>
      </c>
      <c r="E3" s="15">
        <v>45748</v>
      </c>
      <c r="F3" s="2">
        <v>24000</v>
      </c>
      <c r="G3" s="4">
        <f>IFERROR(Table1[[#This Row],[25,000]]/Table1[[#This Row],[180000]], "0")</f>
        <v>0.12</v>
      </c>
      <c r="H3" s="1">
        <f>Table1[[#This Row],[180000]]-Table1[[#This Row],[25,000]]</f>
        <v>176000</v>
      </c>
      <c r="I3" s="4">
        <f>IFERROR((Table1[[#This Row],[180000]]-Table1[[#This Row],[25,000]])/Table1[[#This Row],[180000]],"0")</f>
        <v>0.88</v>
      </c>
    </row>
    <row r="4" spans="1:10">
      <c r="A4">
        <v>2</v>
      </c>
      <c r="D4" s="3"/>
      <c r="F4" s="2"/>
      <c r="G4" s="5" t="str">
        <f>IFERROR(Table1[[#This Row],[25,000]]/Table1[[#This Row],[180000]], "0")</f>
        <v>0</v>
      </c>
      <c r="H4" s="1">
        <f>Table1[[#This Row],[180000]]-Table1[[#This Row],[25,000]]</f>
        <v>0</v>
      </c>
      <c r="I4" s="5" t="str">
        <f>IFERROR((Table1[[#This Row],[180000]]-Table1[[#This Row],[25,000]])/Table1[[#This Row],[180000]],"0")</f>
        <v>0</v>
      </c>
    </row>
    <row r="5" spans="1:10">
      <c r="A5">
        <v>3</v>
      </c>
      <c r="D5" s="3"/>
      <c r="F5" s="2"/>
      <c r="G5" s="5" t="str">
        <f>IFERROR(Table1[[#This Row],[25,000]]/Table1[[#This Row],[180000]], "0")</f>
        <v>0</v>
      </c>
      <c r="H5" s="1">
        <f>Table1[[#This Row],[180000]]-Table1[[#This Row],[25,000]]</f>
        <v>0</v>
      </c>
      <c r="I5" s="5" t="str">
        <f>IFERROR((Table1[[#This Row],[180000]]-Table1[[#This Row],[25,000]])/Table1[[#This Row],[180000]],"0")</f>
        <v>0</v>
      </c>
    </row>
    <row r="6" spans="1:10">
      <c r="A6">
        <v>4</v>
      </c>
      <c r="D6" s="3"/>
      <c r="F6" s="2"/>
      <c r="G6" s="5" t="str">
        <f>IFERROR(Table1[[#This Row],[25,000]]/Table1[[#This Row],[180000]], "0")</f>
        <v>0</v>
      </c>
      <c r="H6" s="1">
        <f>Table1[[#This Row],[180000]]-Table1[[#This Row],[25,000]]</f>
        <v>0</v>
      </c>
      <c r="I6" s="5" t="str">
        <f>IFERROR((Table1[[#This Row],[180000]]-Table1[[#This Row],[25,000]])/Table1[[#This Row],[180000]],"0")</f>
        <v>0</v>
      </c>
    </row>
    <row r="7" spans="1:10">
      <c r="A7">
        <v>5</v>
      </c>
      <c r="D7" s="3"/>
      <c r="F7" s="2"/>
      <c r="G7" s="5" t="str">
        <f>IFERROR(Table1[[#This Row],[25,000]]/Table1[[#This Row],[180000]], "0")</f>
        <v>0</v>
      </c>
      <c r="H7" s="1">
        <f>Table1[[#This Row],[180000]]-Table1[[#This Row],[25,000]]</f>
        <v>0</v>
      </c>
      <c r="I7" s="5" t="str">
        <f>IFERROR((Table1[[#This Row],[180000]]-Table1[[#This Row],[25,000]])/Table1[[#This Row],[180000]],"0")</f>
        <v>0</v>
      </c>
    </row>
    <row r="8" spans="1:10">
      <c r="A8">
        <v>6</v>
      </c>
      <c r="D8" s="3"/>
      <c r="F8" s="2"/>
      <c r="G8" s="5" t="str">
        <f>IFERROR(Table1[[#This Row],[25,000]]/Table1[[#This Row],[180000]], "0")</f>
        <v>0</v>
      </c>
      <c r="H8" s="1">
        <f>Table1[[#This Row],[180000]]-Table1[[#This Row],[25,000]]</f>
        <v>0</v>
      </c>
      <c r="I8" s="5" t="str">
        <f>IFERROR((Table1[[#This Row],[180000]]-Table1[[#This Row],[25,000]])/Table1[[#This Row],[180000]],"0")</f>
        <v>0</v>
      </c>
    </row>
    <row r="9" spans="1:10">
      <c r="A9">
        <v>7</v>
      </c>
      <c r="D9" s="3"/>
      <c r="F9" s="2"/>
      <c r="G9" s="5" t="str">
        <f>IFERROR(Table1[[#This Row],[25,000]]/Table1[[#This Row],[180000]], "0")</f>
        <v>0</v>
      </c>
      <c r="H9" s="1">
        <f>Table1[[#This Row],[180000]]-Table1[[#This Row],[25,000]]</f>
        <v>0</v>
      </c>
      <c r="I9" s="5" t="str">
        <f>IFERROR((Table1[[#This Row],[180000]]-Table1[[#This Row],[25,000]])/Table1[[#This Row],[180000]],"0")</f>
        <v>0</v>
      </c>
    </row>
    <row r="10" spans="1:10">
      <c r="A10">
        <v>8</v>
      </c>
      <c r="D10" s="3"/>
      <c r="F10" s="2"/>
      <c r="G10" s="5" t="str">
        <f>IFERROR(Table1[[#This Row],[25,000]]/Table1[[#This Row],[180000]], "0")</f>
        <v>0</v>
      </c>
      <c r="H10" s="1">
        <f>Table1[[#This Row],[180000]]-Table1[[#This Row],[25,000]]</f>
        <v>0</v>
      </c>
      <c r="I10" s="5" t="str">
        <f>IFERROR((Table1[[#This Row],[180000]]-Table1[[#This Row],[25,000]])/Table1[[#This Row],[180000]],"0")</f>
        <v>0</v>
      </c>
    </row>
    <row r="11" spans="1:10">
      <c r="A11">
        <v>9</v>
      </c>
      <c r="D11" s="3"/>
      <c r="F11" s="2"/>
      <c r="G11" s="5" t="str">
        <f>IFERROR(Table1[[#This Row],[25,000]]/Table1[[#This Row],[180000]], "0")</f>
        <v>0</v>
      </c>
      <c r="H11" s="1">
        <f>Table1[[#This Row],[180000]]-Table1[[#This Row],[25,000]]</f>
        <v>0</v>
      </c>
      <c r="I11" s="5" t="str">
        <f>IFERROR((Table1[[#This Row],[180000]]-Table1[[#This Row],[25,000]])/Table1[[#This Row],[180000]],"0")</f>
        <v>0</v>
      </c>
    </row>
    <row r="12" spans="1:10">
      <c r="A12">
        <v>10</v>
      </c>
      <c r="D12" s="3"/>
      <c r="F12" s="2"/>
      <c r="G12" s="13" t="str">
        <f>IFERROR(Table1[[#This Row],[25,000]]/Table1[[#This Row],[180000]], "0")</f>
        <v>0</v>
      </c>
      <c r="H12" s="14">
        <f>Table1[[#This Row],[180000]]-Table1[[#This Row],[25,000]]</f>
        <v>0</v>
      </c>
      <c r="I12" s="13" t="str">
        <f>IFERROR((Table1[[#This Row],[180000]]-Table1[[#This Row],[25,000]])/Table1[[#This Row],[180000]],"0")</f>
        <v>0</v>
      </c>
    </row>
    <row r="13" spans="1:10">
      <c r="A13">
        <v>11</v>
      </c>
      <c r="D13" s="3"/>
      <c r="F13" s="2"/>
      <c r="G13" s="13" t="str">
        <f>IFERROR(Table1[[#This Row],[25,000]]/Table1[[#This Row],[180000]], "0")</f>
        <v>0</v>
      </c>
      <c r="H13" s="14">
        <f>Table1[[#This Row],[180000]]-Table1[[#This Row],[25,000]]</f>
        <v>0</v>
      </c>
      <c r="I13" s="13" t="str">
        <f>IFERROR((Table1[[#This Row],[180000]]-Table1[[#This Row],[25,000]])/Table1[[#This Row],[180000]],"0")</f>
        <v>0</v>
      </c>
    </row>
  </sheetData>
  <mergeCells count="1">
    <mergeCell ref="A1:J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</cp:lastModifiedBy>
  <dcterms:created xsi:type="dcterms:W3CDTF">2025-06-09T09:45:38Z</dcterms:created>
  <dcterms:modified xsi:type="dcterms:W3CDTF">2025-06-10T16:25:29Z</dcterms:modified>
</cp:coreProperties>
</file>