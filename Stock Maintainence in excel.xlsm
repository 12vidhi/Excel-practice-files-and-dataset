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e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13_ncr:1_{C72A022D-2D81-49A7-9021-121EF5192E1D}" xr6:coauthVersionLast="47" xr6:coauthVersionMax="47" xr10:uidLastSave="{00000000-0000-0000-0000-000000000000}"/>
  <bookViews>
    <workbookView xWindow="-110" yWindow="-110" windowWidth="19420" windowHeight="10300" activeTab="4" xr2:uid="{54DA610C-FF91-4583-B5FF-EDDD4FB32ACC}"/>
  </bookViews>
  <sheets>
    <sheet name="Bill Entry" sheetId="1" r:id="rId1"/>
    <sheet name="Purchase Data" sheetId="2" r:id="rId2"/>
    <sheet name="Sales Data" sheetId="3" r:id="rId3"/>
    <sheet name="Stocks" sheetId="4" r:id="rId4"/>
    <sheet name="Sheet1" sheetId="6" r:id="rId5"/>
    <sheet name="Products" sheetId="5" r:id="rId6"/>
  </sheets>
  <definedNames>
    <definedName name="_xlnm.Criteria" localSheetId="3">Stocks!$F$3:$F$4</definedName>
    <definedName name="_xlnm.Extract" localSheetId="3">Stocks!$A$1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6" l="1"/>
  <c r="I4" i="6"/>
  <c r="I5" i="6"/>
  <c r="I6" i="6"/>
  <c r="I7" i="6"/>
  <c r="I8" i="6"/>
  <c r="I9" i="6"/>
  <c r="I10" i="6"/>
  <c r="H7" i="6"/>
  <c r="H3" i="6"/>
  <c r="A7" i="6"/>
  <c r="A3" i="6"/>
  <c r="A4" i="6"/>
  <c r="A5" i="6"/>
  <c r="A10" i="6"/>
  <c r="A8" i="6"/>
  <c r="A9" i="6"/>
  <c r="A6" i="6"/>
  <c r="G7" i="6"/>
  <c r="G3" i="6"/>
  <c r="G4" i="6"/>
  <c r="H4" i="6" s="1"/>
  <c r="G5" i="6"/>
  <c r="H5" i="6" s="1"/>
  <c r="G10" i="6"/>
  <c r="H10" i="6" s="1"/>
  <c r="G8" i="6"/>
  <c r="H8" i="6" s="1"/>
  <c r="G9" i="6"/>
  <c r="H9" i="6" s="1"/>
  <c r="G6" i="6"/>
  <c r="H6" i="6" s="1"/>
  <c r="G4" i="3"/>
  <c r="G2" i="2"/>
  <c r="B2" i="4"/>
  <c r="B3" i="4"/>
  <c r="D3" i="4" s="1"/>
  <c r="B4" i="4"/>
  <c r="B5" i="4"/>
  <c r="B6" i="4"/>
  <c r="B7" i="4"/>
  <c r="D7" i="4" s="1"/>
  <c r="B8" i="4"/>
  <c r="B9" i="4"/>
  <c r="B10" i="4"/>
  <c r="B11" i="4"/>
  <c r="D11" i="4" s="1"/>
  <c r="B12" i="4"/>
  <c r="C2" i="4"/>
  <c r="C3" i="4"/>
  <c r="C4" i="4"/>
  <c r="C5" i="4"/>
  <c r="C6" i="4"/>
  <c r="C7" i="4"/>
  <c r="C8" i="4"/>
  <c r="C9" i="4"/>
  <c r="C10" i="4"/>
  <c r="C11" i="4"/>
  <c r="C12" i="4"/>
  <c r="G7" i="2"/>
  <c r="F4" i="4"/>
  <c r="G3" i="1"/>
  <c r="G6" i="2"/>
  <c r="G8" i="2"/>
  <c r="G5" i="2"/>
  <c r="G9" i="2"/>
  <c r="G4" i="2"/>
  <c r="G3" i="2"/>
  <c r="G10" i="2"/>
  <c r="G11" i="2"/>
  <c r="G12" i="2"/>
  <c r="G13" i="2"/>
  <c r="G14" i="2"/>
  <c r="G15" i="2"/>
  <c r="G3" i="3"/>
  <c r="G2" i="3"/>
  <c r="G5" i="3"/>
  <c r="G6" i="3"/>
  <c r="G7" i="3"/>
  <c r="B10" i="1"/>
  <c r="A5" i="1"/>
  <c r="D10" i="4" l="1"/>
  <c r="D6" i="4"/>
  <c r="D2" i="4"/>
  <c r="D9" i="4"/>
  <c r="D5" i="4"/>
  <c r="D12" i="4"/>
  <c r="D8" i="4"/>
  <c r="D4" i="4"/>
</calcChain>
</file>

<file path=xl/sharedStrings.xml><?xml version="1.0" encoding="utf-8"?>
<sst xmlns="http://schemas.openxmlformats.org/spreadsheetml/2006/main" count="106" uniqueCount="77">
  <si>
    <t>XYZ-Electronic Items</t>
  </si>
  <si>
    <t>Entry Type</t>
  </si>
  <si>
    <t>Last Entry</t>
  </si>
  <si>
    <t>Invoice No.</t>
  </si>
  <si>
    <t>Date</t>
  </si>
  <si>
    <t>Rate</t>
  </si>
  <si>
    <t>Quantity</t>
  </si>
  <si>
    <t>Amount</t>
  </si>
  <si>
    <t>Product</t>
  </si>
  <si>
    <t>Vendor</t>
  </si>
  <si>
    <t>Customer</t>
  </si>
  <si>
    <t>Key Board</t>
  </si>
  <si>
    <t>Mouse</t>
  </si>
  <si>
    <t>I Pad</t>
  </si>
  <si>
    <t>Smart Phone</t>
  </si>
  <si>
    <t>Desktop</t>
  </si>
  <si>
    <t>Laptop</t>
  </si>
  <si>
    <t>Cable</t>
  </si>
  <si>
    <t>Earbuds</t>
  </si>
  <si>
    <t>Headphones</t>
  </si>
  <si>
    <t>Charger</t>
  </si>
  <si>
    <t>Shirt</t>
  </si>
  <si>
    <t>Pants</t>
  </si>
  <si>
    <t>Stocks</t>
  </si>
  <si>
    <t>Trouser</t>
  </si>
  <si>
    <t>Jeans</t>
  </si>
  <si>
    <t>Jackets</t>
  </si>
  <si>
    <t>T-Shirts</t>
  </si>
  <si>
    <t>Kurti</t>
  </si>
  <si>
    <t>Shirts</t>
  </si>
  <si>
    <t>Skirts</t>
  </si>
  <si>
    <t>Long Skirts</t>
  </si>
  <si>
    <t>Baggy Jeans</t>
  </si>
  <si>
    <t>Tops</t>
  </si>
  <si>
    <t>Crop top</t>
  </si>
  <si>
    <t>Accessories</t>
  </si>
  <si>
    <t>Necklaces</t>
  </si>
  <si>
    <t>Earrings</t>
  </si>
  <si>
    <t>Bracelets</t>
  </si>
  <si>
    <t>Belts</t>
  </si>
  <si>
    <t>Sunglasses</t>
  </si>
  <si>
    <t>Watches</t>
  </si>
  <si>
    <t>Handbags</t>
  </si>
  <si>
    <t>Backpacks</t>
  </si>
  <si>
    <t>Wallets</t>
  </si>
  <si>
    <t>Eletronic_Items</t>
  </si>
  <si>
    <t>Men_Clothes</t>
  </si>
  <si>
    <t>Womens_Clothes</t>
  </si>
  <si>
    <t>Mohan</t>
  </si>
  <si>
    <t>Vidhi</t>
  </si>
  <si>
    <t>Mohan Garments</t>
  </si>
  <si>
    <t>ishan Traders</t>
  </si>
  <si>
    <t>Ali Corporate</t>
  </si>
  <si>
    <t>Fraklin</t>
  </si>
  <si>
    <t>Purchase Qty</t>
  </si>
  <si>
    <t>Sales Qty</t>
  </si>
  <si>
    <t>Remaining Stock</t>
  </si>
  <si>
    <t>jkshduh</t>
  </si>
  <si>
    <t>Sales</t>
  </si>
  <si>
    <t>Sr.no</t>
  </si>
  <si>
    <t>Names</t>
  </si>
  <si>
    <t>Subjects</t>
  </si>
  <si>
    <t>Englis</t>
  </si>
  <si>
    <t>Hindi</t>
  </si>
  <si>
    <t>Maths</t>
  </si>
  <si>
    <t>Science</t>
  </si>
  <si>
    <t>Total</t>
  </si>
  <si>
    <t>Arjun</t>
  </si>
  <si>
    <t>Meera</t>
  </si>
  <si>
    <t>Kabir</t>
  </si>
  <si>
    <t>Ananya</t>
  </si>
  <si>
    <t>Rohan</t>
  </si>
  <si>
    <t>Priya</t>
  </si>
  <si>
    <t>Dev</t>
  </si>
  <si>
    <t>Ishita</t>
  </si>
  <si>
    <t>Percentage</t>
  </si>
  <si>
    <t>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</si>
</sst>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₹-4009]\ #,##0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22"/>
      <color theme="0"/>
      <name val="Bahnschrift Light SemiCondensed"/>
      <family val="2"/>
    </font>
    <font>
      <b/>
      <sz val="11"/>
      <color theme="1"/>
      <name val="Aptos Narrow"/>
      <family val="2"/>
    </font>
    <font>
      <sz val="11"/>
      <color theme="1"/>
      <name val="Bahnschrift"/>
      <family val="2"/>
    </font>
    <font>
      <sz val="8"/>
      <name val="Calibri"/>
      <family val="2"/>
      <scheme val="minor"/>
    </font>
    <font>
      <b/>
      <sz val="11"/>
      <color theme="1"/>
      <name val="Bahnschrift Light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22">
    <xf numFmtId="0" fontId="0" fillId="0" borderId="0" xfId="0"/>
    <xf numFmtId="0" fontId="1" fillId="3" borderId="0" xfId="0" applyFont="1" applyFill="1"/>
    <xf numFmtId="0" fontId="4" fillId="0" borderId="0" xfId="0" applyFont="1"/>
    <xf numFmtId="164" fontId="0" fillId="0" borderId="0" xfId="0" applyNumberFormat="1"/>
    <xf numFmtId="0" fontId="3" fillId="4" borderId="1" xfId="0" applyFont="1" applyFill="1" applyBorder="1"/>
    <xf numFmtId="0" fontId="1" fillId="3" borderId="1" xfId="0" applyFont="1" applyFill="1" applyBorder="1"/>
    <xf numFmtId="0" fontId="4" fillId="0" borderId="1" xfId="0" applyFont="1" applyBorder="1"/>
    <xf numFmtId="0" fontId="0" fillId="0" borderId="0" xfId="0" applyAlignment="1">
      <alignment horizontal="left"/>
    </xf>
    <xf numFmtId="0" fontId="0" fillId="0" borderId="1" xfId="0" applyBorder="1" applyAlignment="1">
      <alignment horizontal="right"/>
    </xf>
    <xf numFmtId="14" fontId="0" fillId="0" borderId="1" xfId="0" applyNumberFormat="1" applyBorder="1" applyAlignment="1">
      <alignment horizontal="right"/>
    </xf>
    <xf numFmtId="0" fontId="6" fillId="0" borderId="1" xfId="0" applyFon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164" fontId="4" fillId="0" borderId="0" xfId="0" applyNumberFormat="1" applyFont="1"/>
    <xf numFmtId="164" fontId="4" fillId="0" borderId="1" xfId="0" applyNumberFormat="1" applyFont="1" applyBorder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6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0" fontId="2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10">
    <dxf>
      <numFmt numFmtId="0" formatCode="General"/>
    </dxf>
    <dxf>
      <numFmt numFmtId="14" formatCode="0.00%"/>
    </dxf>
    <dxf>
      <alignment horizontal="left" vertical="bottom" textRotation="0" wrapText="0" indent="0" justifyLastLine="0" shrinkToFit="0" readingOrder="0"/>
    </dxf>
    <dxf>
      <numFmt numFmtId="164" formatCode="[$₹-4009]\ 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numFmt numFmtId="164" formatCode="[$₹-4009]\ 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Sheet1!$H$2</c:f>
              <c:strCache>
                <c:ptCount val="1"/>
                <c:pt idx="0">
                  <c:v>Percentage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Sheet1!$B$3:$B$10</c:f>
              <c:strCache>
                <c:ptCount val="8"/>
                <c:pt idx="0">
                  <c:v>Kabir</c:v>
                </c:pt>
                <c:pt idx="1">
                  <c:v>Ananya</c:v>
                </c:pt>
                <c:pt idx="2">
                  <c:v>Rohan</c:v>
                </c:pt>
                <c:pt idx="3">
                  <c:v>Arjun</c:v>
                </c:pt>
                <c:pt idx="4">
                  <c:v>Meera</c:v>
                </c:pt>
                <c:pt idx="5">
                  <c:v>Dev</c:v>
                </c:pt>
                <c:pt idx="6">
                  <c:v>Ishita</c:v>
                </c:pt>
                <c:pt idx="7">
                  <c:v>Priya</c:v>
                </c:pt>
              </c:strCache>
            </c:strRef>
          </c:cat>
          <c:val>
            <c:numRef>
              <c:f>Sheet1!$H$3:$H$10</c:f>
              <c:numCache>
                <c:formatCode>0.00%</c:formatCode>
                <c:ptCount val="8"/>
                <c:pt idx="0">
                  <c:v>0.90249999999999997</c:v>
                </c:pt>
                <c:pt idx="1">
                  <c:v>0.6925</c:v>
                </c:pt>
                <c:pt idx="2">
                  <c:v>0.6825</c:v>
                </c:pt>
                <c:pt idx="3">
                  <c:v>0.66749999999999998</c:v>
                </c:pt>
                <c:pt idx="4">
                  <c:v>0.61499999999999999</c:v>
                </c:pt>
                <c:pt idx="5">
                  <c:v>0.61</c:v>
                </c:pt>
                <c:pt idx="6">
                  <c:v>0.53500000000000003</c:v>
                </c:pt>
                <c:pt idx="7">
                  <c:v>0.39250000000000002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36-48F1-9FA2-2BBA3CFCF5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0"/>
        <c:overlap val="-68"/>
        <c:axId val="122247023"/>
        <c:axId val="122254703"/>
      </c:barChart>
      <c:catAx>
        <c:axId val="122247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54703"/>
        <c:crosses val="autoZero"/>
        <c:auto val="1"/>
        <c:lblAlgn val="ctr"/>
        <c:lblOffset val="100"/>
        <c:noMultiLvlLbl val="0"/>
      </c:catAx>
      <c:valAx>
        <c:axId val="122254703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22247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19050</xdr:rowOff>
    </xdr:from>
    <xdr:to>
      <xdr:col>1</xdr:col>
      <xdr:colOff>152400</xdr:colOff>
      <xdr:row>13</xdr:row>
      <xdr:rowOff>95250</xdr:rowOff>
    </xdr:to>
    <xdr:sp macro="[0]!Sales_Data_Entry" textlink="">
      <xdr:nvSpPr>
        <xdr:cNvPr id="2" name="Oval 1">
          <a:extLst>
            <a:ext uri="{FF2B5EF4-FFF2-40B4-BE49-F238E27FC236}">
              <a16:creationId xmlns:a16="http://schemas.microsoft.com/office/drawing/2014/main" id="{2CCB77A2-8835-FB37-15CF-E009F0922669}"/>
            </a:ext>
          </a:extLst>
        </xdr:cNvPr>
        <xdr:cNvSpPr/>
      </xdr:nvSpPr>
      <xdr:spPr>
        <a:xfrm>
          <a:off x="114300" y="2044700"/>
          <a:ext cx="996950" cy="444500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Sales Entry</a:t>
          </a:r>
        </a:p>
      </xdr:txBody>
    </xdr:sp>
    <xdr:clientData/>
  </xdr:twoCellAnchor>
  <xdr:twoCellAnchor>
    <xdr:from>
      <xdr:col>1</xdr:col>
      <xdr:colOff>400050</xdr:colOff>
      <xdr:row>11</xdr:row>
      <xdr:rowOff>12700</xdr:rowOff>
    </xdr:from>
    <xdr:to>
      <xdr:col>2</xdr:col>
      <xdr:colOff>254000</xdr:colOff>
      <xdr:row>13</xdr:row>
      <xdr:rowOff>127000</xdr:rowOff>
    </xdr:to>
    <xdr:sp macro="[0]!Purchase_Data_Entry2" textlink="">
      <xdr:nvSpPr>
        <xdr:cNvPr id="3" name="Oval 2">
          <a:extLst>
            <a:ext uri="{FF2B5EF4-FFF2-40B4-BE49-F238E27FC236}">
              <a16:creationId xmlns:a16="http://schemas.microsoft.com/office/drawing/2014/main" id="{CA682DB3-B46B-8403-B479-EA092C589A1B}"/>
            </a:ext>
          </a:extLst>
        </xdr:cNvPr>
        <xdr:cNvSpPr/>
      </xdr:nvSpPr>
      <xdr:spPr>
        <a:xfrm>
          <a:off x="1358900" y="2038350"/>
          <a:ext cx="1035050" cy="482600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Purchase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0</xdr:row>
      <xdr:rowOff>104775</xdr:rowOff>
    </xdr:from>
    <xdr:to>
      <xdr:col>15</xdr:col>
      <xdr:colOff>501650</xdr:colOff>
      <xdr:row>13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A7A0E2-C2FE-EB35-6595-39DE1666E2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29517F-897E-4A14-BCF7-10CE5702A7DA}" name="Table1" displayName="Table1" ref="A1:G15" totalsRowShown="0" headerRowDxfId="6">
  <autoFilter ref="A1:G15" xr:uid="{3C29517F-897E-4A14-BCF7-10CE5702A7DA}"/>
  <sortState xmlns:xlrd2="http://schemas.microsoft.com/office/spreadsheetml/2017/richdata2" ref="A2:G15">
    <sortCondition ref="A1:A15"/>
  </sortState>
  <tableColumns count="7">
    <tableColumn id="1" xr3:uid="{90E1769F-0E81-4813-8DAD-05AB184BC8D7}" name="Invoice No."/>
    <tableColumn id="2" xr3:uid="{A586E1F8-7673-48BE-B101-AD9B9512CD26}" name="Vendor"/>
    <tableColumn id="3" xr3:uid="{9C0FA569-751A-4E00-9EAA-89F9229D50BC}" name="Date"/>
    <tableColumn id="4" xr3:uid="{05139DB1-C7A9-4360-8F32-2BA85DE06B66}" name="Product"/>
    <tableColumn id="5" xr3:uid="{DD7E2DBC-3FBB-4A6E-8A86-2FAAF40BB9AB}" name="Rate"/>
    <tableColumn id="6" xr3:uid="{605CA56E-B653-425D-A05B-4FE8EE2E029B}" name="Quantity"/>
    <tableColumn id="7" xr3:uid="{CD25C837-E8BF-42C1-905F-7EEACDBE28C1}" name="Amount" dataDxfId="5">
      <calculatedColumnFormula>E2*F2</calculatedColumnFormula>
    </tableColumn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C8E1DA7-DF9E-413A-92E8-62AEDD8FCBE2}" name="Table13" displayName="Table13" ref="A1:G7" totalsRowShown="0" headerRowDxfId="4">
  <autoFilter ref="A1:G7" xr:uid="{7C8E1DA7-DF9E-413A-92E8-62AEDD8FCBE2}"/>
  <sortState xmlns:xlrd2="http://schemas.microsoft.com/office/spreadsheetml/2017/richdata2" ref="A2:G7">
    <sortCondition ref="A1:A7"/>
  </sortState>
  <tableColumns count="7">
    <tableColumn id="1" xr3:uid="{122BA952-11FB-4D9A-81FE-249DEC71576B}" name="Invoice No."/>
    <tableColumn id="2" xr3:uid="{62917441-4708-4238-B47D-628A0D320EF5}" name="Customer"/>
    <tableColumn id="3" xr3:uid="{4A12C463-0BA4-4FAD-88F1-1456ADF02C8A}" name="Date"/>
    <tableColumn id="4" xr3:uid="{D1B7238C-9ED1-4C19-999D-D2A4B71B3A15}" name="Product"/>
    <tableColumn id="5" xr3:uid="{5C2B5B18-EDA3-4B42-BB62-C78505278835}" name="Rate"/>
    <tableColumn id="6" xr3:uid="{C41533A4-D1CF-4D19-8C6F-E06B0E41918F}" name="Quantity"/>
    <tableColumn id="7" xr3:uid="{7F45CE03-835C-4BCE-8DAF-C695CD10F1DA}" name="Amount" dataDxfId="3">
      <calculatedColumnFormula>E2*F2</calculatedColumnFormula>
    </tableColumn>
  </tableColumns>
  <tableStyleInfo name="TableStyleMedium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9E8EE31-5553-44DB-90D5-5F85F9598181}" name="Table7" displayName="Table7" ref="A1:D12" totalsRowShown="0">
  <tableColumns count="4">
    <tableColumn id="1" xr3:uid="{C7398632-4D5F-443F-ABA8-CC422A50AA6A}" name="Product"/>
    <tableColumn id="2" xr3:uid="{96B347F0-C332-49A1-90C7-73AE538E361F}" name="Purchase Qty" dataDxfId="9">
      <calculatedColumnFormula>SUMIF('Purchase Data'!D:D,Stocks!A2,'Purchase Data'!F:F)</calculatedColumnFormula>
    </tableColumn>
    <tableColumn id="3" xr3:uid="{BD0B7F83-CDAF-4BEF-9391-16793B734278}" name="Sales Qty" dataDxfId="8">
      <calculatedColumnFormula>SUMIF('Sales Data'!D:D,Stocks!A2,'Sales Data'!F:F)</calculatedColumnFormula>
    </tableColumn>
    <tableColumn id="4" xr3:uid="{6FC1C272-5DA7-4BC8-866B-1B6D5EABE9FB}" name="Remaining Stock" dataDxfId="7">
      <calculatedColumnFormula>B2-C2</calculatedColumnFormula>
    </tableColumn>
  </tableColumns>
  <tableStyleInfo name="TableStyleLight9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9D783E3-F25B-416B-A0D4-B0A711BE0C1B}" name="Table8" displayName="Table8" ref="A2:I10" totalsRowShown="0">
  <autoFilter ref="A2:I10" xr:uid="{29D783E3-F25B-416B-A0D4-B0A711BE0C1B}"/>
  <sortState xmlns:xlrd2="http://schemas.microsoft.com/office/spreadsheetml/2017/richdata2" ref="A3:I10">
    <sortCondition descending="1" ref="H2:H10"/>
  </sortState>
  <tableColumns count="9">
    <tableColumn id="1" xr3:uid="{4F5E6EAE-B028-4417-BA68-1E8164261E66}" name="Sr.no" dataDxfId="2">
      <calculatedColumnFormula>SUBTOTAL(3,$C$3:C3)</calculatedColumnFormula>
    </tableColumn>
    <tableColumn id="2" xr3:uid="{90EF91CB-C61F-4232-99C1-4A8A1DF0B95C}" name="Names"/>
    <tableColumn id="3" xr3:uid="{AFAAF30C-46FA-4807-88CA-A214A7CF69D1}" name="Englis"/>
    <tableColumn id="4" xr3:uid="{875D022E-B8A0-4D16-BA09-6297B306E753}" name="Hindi"/>
    <tableColumn id="5" xr3:uid="{4C69E864-FF7E-4E07-85C2-39D39D9634B1}" name="Maths"/>
    <tableColumn id="6" xr3:uid="{84B1FD97-EB21-4960-BE16-8623D71CE4C4}" name="Science"/>
    <tableColumn id="7" xr3:uid="{EA3DDD74-AC72-44B9-87C6-5D5067870A78}" name="Total">
      <calculatedColumnFormula>SUM(C3:F3)</calculatedColumnFormula>
    </tableColumn>
    <tableColumn id="8" xr3:uid="{9E6FB8F5-9B87-4C12-91B7-39467C6302ED}" name="Percentage" dataDxfId="1" dataCellStyle="Percent">
      <calculatedColumnFormula>G3/400</calculatedColumnFormula>
    </tableColumn>
    <tableColumn id="9" xr3:uid="{9976ABD9-7120-495C-AB64-E2B450AB2FA4}" name="Grade" dataDxfId="0">
      <calculatedColumnFormula>IF(H3&gt;=60%,"A",IF(H3&gt;=50%,"B",IF(H3&gt;=30%,"C","Fails")))</calculatedColumnFormula>
    </tableColumn>
  </tableColumns>
  <tableStyleInfo name="TableStyleMedium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E5B9A09-33F0-4997-81EC-7697A44D1F2A}" name="Accessories" displayName="Accessories" ref="A1:A11" totalsRowShown="0">
  <autoFilter ref="A1:A11" xr:uid="{5E5B9A09-33F0-4997-81EC-7697A44D1F2A}"/>
  <tableColumns count="1">
    <tableColumn id="4" xr3:uid="{26B3CEFF-BB13-4F1D-B6B1-5D4971055775}" name="Accessories"/>
  </tableColumns>
  <tableStyleInfo name="TableStyleMedium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45FD35-4150-4727-A789-0EA5DF93B913}" name="Eletronic_Items" displayName="Eletronic_Items" ref="B1:B11" totalsRowShown="0">
  <autoFilter ref="B1:B11" xr:uid="{0E45FD35-4150-4727-A789-0EA5DF93B913}"/>
  <tableColumns count="1">
    <tableColumn id="1" xr3:uid="{100FE3A9-A349-4F60-8D77-1F3671E0D765}" name="Eletronic_Items"/>
  </tableColumns>
  <tableStyleInfo name="TableStyleMedium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2B59DA-6EF8-48F1-B0BF-D3D0440F0438}" name="Men_Clothes" displayName="Men_Clothes" ref="C1:C9" totalsRowShown="0">
  <autoFilter ref="C1:C9" xr:uid="{6A2B59DA-6EF8-48F1-B0BF-D3D0440F0438}"/>
  <tableColumns count="1">
    <tableColumn id="1" xr3:uid="{98D35F1A-32A4-4446-86BA-6A31222993E5}" name="Men_Clothes"/>
  </tableColumns>
  <tableStyleInfo name="TableStyleMedium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C6BBB18-2E9C-434B-ABEC-AB080C9A781D}" name="Womens_Clothes" displayName="Womens_Clothes" ref="D1:D9" totalsRowShown="0">
  <autoFilter ref="D1:D9" xr:uid="{DC6BBB18-2E9C-434B-ABEC-AB080C9A781D}"/>
  <tableColumns count="1">
    <tableColumn id="1" xr3:uid="{247FAF6D-91C8-4EE0-891F-63FA8106931C}" name="Womens_Clothes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4C70065-BFF5-4FC7-90F6-D12455485A0A}">
  <we:reference id="wa200005502" version="1.0.0.11" store="en-US" storeType="OMEX"/>
  <we:alternateReferences>
    <we:reference id="WA200005502" version="1.0.0.11" store="" storeType="OMEX"/>
  </we:alternateReferences>
  <we:properties>
    <we:property name="docId" value="&quot;GMPKKWb7GGDA-ZkFFOYVk&quot;"/>
  </we:properties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B2E17-A3A6-425F-9007-F40FE5F5EF72}">
  <sheetPr codeName="Sheet1"/>
  <dimension ref="A1:J10"/>
  <sheetViews>
    <sheetView workbookViewId="0">
      <selection activeCell="B4" sqref="B4:B9"/>
    </sheetView>
  </sheetViews>
  <sheetFormatPr defaultRowHeight="14.5" x14ac:dyDescent="0.35"/>
  <cols>
    <col min="1" max="1" width="21.26953125" customWidth="1"/>
    <col min="2" max="2" width="16.90625" customWidth="1"/>
    <col min="5" max="5" width="13" customWidth="1"/>
    <col min="7" max="7" width="13.90625" customWidth="1"/>
  </cols>
  <sheetData>
    <row r="1" spans="1:10" x14ac:dyDescent="0.35">
      <c r="A1" s="18" t="s">
        <v>0</v>
      </c>
      <c r="B1" s="18"/>
      <c r="C1" s="18"/>
      <c r="D1" s="18"/>
      <c r="E1" s="18"/>
      <c r="F1" s="18"/>
      <c r="G1" s="18"/>
      <c r="H1" s="18"/>
      <c r="I1" s="18"/>
      <c r="J1" s="18"/>
    </row>
    <row r="2" spans="1:10" x14ac:dyDescent="0.35">
      <c r="A2" s="18"/>
      <c r="B2" s="18"/>
      <c r="C2" s="18"/>
      <c r="D2" s="18"/>
      <c r="E2" s="18"/>
      <c r="F2" s="18"/>
      <c r="G2" s="18"/>
      <c r="H2" s="18"/>
      <c r="I2" s="18"/>
      <c r="J2" s="18"/>
    </row>
    <row r="3" spans="1:10" x14ac:dyDescent="0.35">
      <c r="A3" s="4" t="s">
        <v>1</v>
      </c>
      <c r="B3" s="5" t="s">
        <v>58</v>
      </c>
      <c r="E3" s="19" t="s">
        <v>2</v>
      </c>
      <c r="F3" s="19"/>
      <c r="G3" s="1">
        <f>IF(B3="Sales",MAX('Sales Data'!A:A))</f>
        <v>2002</v>
      </c>
    </row>
    <row r="4" spans="1:10" x14ac:dyDescent="0.35">
      <c r="A4" s="6" t="s">
        <v>3</v>
      </c>
      <c r="B4" s="8"/>
    </row>
    <row r="5" spans="1:10" x14ac:dyDescent="0.35">
      <c r="A5" s="6" t="str">
        <f>IF(B3="Purchase", "Vendor", "Customer")</f>
        <v>Customer</v>
      </c>
      <c r="B5" s="8"/>
    </row>
    <row r="6" spans="1:10" x14ac:dyDescent="0.35">
      <c r="A6" s="6" t="s">
        <v>4</v>
      </c>
      <c r="B6" s="9"/>
    </row>
    <row r="7" spans="1:10" x14ac:dyDescent="0.35">
      <c r="A7" s="6" t="s">
        <v>35</v>
      </c>
      <c r="B7" s="10"/>
    </row>
    <row r="8" spans="1:10" x14ac:dyDescent="0.35">
      <c r="A8" s="6" t="s">
        <v>5</v>
      </c>
      <c r="B8" s="8"/>
    </row>
    <row r="9" spans="1:10" x14ac:dyDescent="0.35">
      <c r="A9" s="6" t="s">
        <v>6</v>
      </c>
      <c r="B9" s="8"/>
      <c r="D9" s="7"/>
    </row>
    <row r="10" spans="1:10" x14ac:dyDescent="0.35">
      <c r="A10" s="6" t="s">
        <v>7</v>
      </c>
      <c r="B10" s="11">
        <f>B8*B9</f>
        <v>0</v>
      </c>
    </row>
  </sheetData>
  <mergeCells count="2">
    <mergeCell ref="A1:J2"/>
    <mergeCell ref="E3:F3"/>
  </mergeCells>
  <dataValidations count="2">
    <dataValidation type="list" allowBlank="1" showInputMessage="1" showErrorMessage="1" sqref="B3" xr:uid="{9FF9D0E3-C723-444D-A49E-4B43202B625C}">
      <formula1>"Sales, Purchase"</formula1>
    </dataValidation>
    <dataValidation type="list" allowBlank="1" showInputMessage="1" showErrorMessage="1" sqref="B7" xr:uid="{CC326DC5-BCE1-42EF-800C-68C24FC16821}">
      <formula1>INDIRECT($A7)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A841DE-4B9D-45BD-9B13-6912F3D446AA}">
          <x14:formula1>
            <xm:f>Products!$A$1:$D$1</xm:f>
          </x14:formula1>
          <xm:sqref>A7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FA515-BEF3-47E7-8734-1ED388461EE4}">
  <sheetPr codeName="Sheet2"/>
  <dimension ref="A1:G15"/>
  <sheetViews>
    <sheetView workbookViewId="0">
      <selection activeCell="A2" sqref="A2"/>
    </sheetView>
  </sheetViews>
  <sheetFormatPr defaultRowHeight="14.5" x14ac:dyDescent="0.35"/>
  <cols>
    <col min="1" max="1" width="14.54296875" customWidth="1"/>
    <col min="2" max="2" width="15.54296875" bestFit="1" customWidth="1"/>
    <col min="3" max="3" width="12.1796875" customWidth="1"/>
    <col min="4" max="4" width="14.7265625" customWidth="1"/>
    <col min="5" max="5" width="12.90625" customWidth="1"/>
    <col min="6" max="6" width="14.1796875" customWidth="1"/>
    <col min="7" max="7" width="16.453125" customWidth="1"/>
  </cols>
  <sheetData>
    <row r="1" spans="1:7" x14ac:dyDescent="0.35">
      <c r="A1" s="2" t="s">
        <v>3</v>
      </c>
      <c r="B1" s="2" t="s">
        <v>9</v>
      </c>
      <c r="C1" s="2" t="s">
        <v>4</v>
      </c>
      <c r="D1" s="2" t="s">
        <v>8</v>
      </c>
      <c r="E1" s="2" t="s">
        <v>5</v>
      </c>
      <c r="F1" s="2" t="s">
        <v>6</v>
      </c>
      <c r="G1" s="2" t="s">
        <v>7</v>
      </c>
    </row>
    <row r="2" spans="1:7" x14ac:dyDescent="0.35">
      <c r="A2" s="2"/>
      <c r="B2" s="2"/>
      <c r="C2" s="2"/>
      <c r="D2" s="2"/>
      <c r="E2" s="2"/>
      <c r="F2" s="2"/>
      <c r="G2" s="12">
        <f>E2*F2</f>
        <v>0</v>
      </c>
    </row>
    <row r="3" spans="1:7" x14ac:dyDescent="0.35">
      <c r="A3" s="8">
        <v>2001</v>
      </c>
      <c r="B3" s="8" t="s">
        <v>50</v>
      </c>
      <c r="C3" s="9">
        <v>44927</v>
      </c>
      <c r="D3" s="10" t="s">
        <v>41</v>
      </c>
      <c r="E3" s="8">
        <v>5000</v>
      </c>
      <c r="F3" s="8">
        <v>30</v>
      </c>
      <c r="G3" s="11">
        <f t="shared" ref="G3:G15" si="0">E3*F3</f>
        <v>150000</v>
      </c>
    </row>
    <row r="4" spans="1:7" x14ac:dyDescent="0.35">
      <c r="A4" s="8">
        <v>2005</v>
      </c>
      <c r="B4" s="8" t="s">
        <v>51</v>
      </c>
      <c r="C4" s="9">
        <v>44960</v>
      </c>
      <c r="D4" s="10" t="s">
        <v>43</v>
      </c>
      <c r="E4" s="8">
        <v>400</v>
      </c>
      <c r="F4" s="8">
        <v>10</v>
      </c>
      <c r="G4" s="11">
        <f t="shared" si="0"/>
        <v>4000</v>
      </c>
    </row>
    <row r="5" spans="1:7" x14ac:dyDescent="0.35">
      <c r="A5" s="8">
        <v>2008</v>
      </c>
      <c r="B5" s="8" t="s">
        <v>52</v>
      </c>
      <c r="C5" s="9">
        <v>44960</v>
      </c>
      <c r="D5" s="10" t="s">
        <v>34</v>
      </c>
      <c r="E5" s="8">
        <v>1200</v>
      </c>
      <c r="F5" s="8">
        <v>30</v>
      </c>
      <c r="G5" s="11">
        <f t="shared" si="0"/>
        <v>36000</v>
      </c>
    </row>
    <row r="6" spans="1:7" x14ac:dyDescent="0.35">
      <c r="A6" s="8">
        <v>2011</v>
      </c>
      <c r="B6" s="8" t="s">
        <v>53</v>
      </c>
      <c r="C6" s="9">
        <v>44594</v>
      </c>
      <c r="D6" s="10" t="s">
        <v>31</v>
      </c>
      <c r="E6" s="8">
        <v>600</v>
      </c>
      <c r="F6" s="8">
        <v>10</v>
      </c>
      <c r="G6" s="11">
        <f t="shared" si="0"/>
        <v>6000</v>
      </c>
    </row>
    <row r="7" spans="1:7" x14ac:dyDescent="0.35">
      <c r="A7" s="14">
        <v>3002</v>
      </c>
      <c r="B7" s="14" t="s">
        <v>57</v>
      </c>
      <c r="C7" s="15">
        <v>48915</v>
      </c>
      <c r="D7" s="16" t="s">
        <v>14</v>
      </c>
      <c r="E7" s="14">
        <v>15000</v>
      </c>
      <c r="F7" s="14">
        <v>2</v>
      </c>
      <c r="G7" s="17">
        <f t="shared" si="0"/>
        <v>30000</v>
      </c>
    </row>
    <row r="8" spans="1:7" x14ac:dyDescent="0.35">
      <c r="A8" s="8"/>
      <c r="B8" s="8"/>
      <c r="C8" s="9"/>
      <c r="D8" s="10"/>
      <c r="E8" s="8"/>
      <c r="F8" s="8"/>
      <c r="G8" s="11">
        <f t="shared" si="0"/>
        <v>0</v>
      </c>
    </row>
    <row r="9" spans="1:7" x14ac:dyDescent="0.35">
      <c r="A9" s="6"/>
      <c r="B9" s="6"/>
      <c r="C9" s="6"/>
      <c r="D9" s="6"/>
      <c r="E9" s="6"/>
      <c r="F9" s="6"/>
      <c r="G9" s="13">
        <f t="shared" si="0"/>
        <v>0</v>
      </c>
    </row>
    <row r="10" spans="1:7" x14ac:dyDescent="0.35">
      <c r="A10" s="2"/>
      <c r="B10" s="2"/>
      <c r="C10" s="2"/>
      <c r="D10" s="2"/>
      <c r="E10" s="2"/>
      <c r="F10" s="2"/>
      <c r="G10" s="12">
        <f t="shared" si="0"/>
        <v>0</v>
      </c>
    </row>
    <row r="11" spans="1:7" x14ac:dyDescent="0.35">
      <c r="A11" s="2"/>
      <c r="B11" s="2"/>
      <c r="C11" s="2"/>
      <c r="D11" s="2"/>
      <c r="E11" s="2"/>
      <c r="F11" s="2"/>
      <c r="G11" s="12">
        <f t="shared" si="0"/>
        <v>0</v>
      </c>
    </row>
    <row r="12" spans="1:7" x14ac:dyDescent="0.35">
      <c r="A12" s="2"/>
      <c r="B12" s="2"/>
      <c r="C12" s="2"/>
      <c r="D12" s="2"/>
      <c r="E12" s="2"/>
      <c r="F12" s="2"/>
      <c r="G12" s="12">
        <f t="shared" si="0"/>
        <v>0</v>
      </c>
    </row>
    <row r="13" spans="1:7" x14ac:dyDescent="0.35">
      <c r="G13" s="3">
        <f t="shared" si="0"/>
        <v>0</v>
      </c>
    </row>
    <row r="14" spans="1:7" x14ac:dyDescent="0.35">
      <c r="G14" s="3">
        <f t="shared" si="0"/>
        <v>0</v>
      </c>
    </row>
    <row r="15" spans="1:7" x14ac:dyDescent="0.35">
      <c r="G15" s="3">
        <f t="shared" si="0"/>
        <v>0</v>
      </c>
    </row>
  </sheetData>
  <dataValidations count="1">
    <dataValidation type="list" allowBlank="1" showInputMessage="1" showErrorMessage="1" sqref="D8:D9 D3:D6" xr:uid="{46E602A7-19F0-448D-A3E1-C1C7B20C3057}">
      <formula1>INDIRECT($A3)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9A730-A573-4844-8970-FB4C72474DDA}">
  <sheetPr codeName="Sheet3"/>
  <dimension ref="A1:G7"/>
  <sheetViews>
    <sheetView workbookViewId="0">
      <selection activeCell="A2" sqref="A2:G2"/>
    </sheetView>
  </sheetViews>
  <sheetFormatPr defaultRowHeight="14.5" x14ac:dyDescent="0.35"/>
  <cols>
    <col min="3" max="3" width="9.453125" bestFit="1" customWidth="1"/>
  </cols>
  <sheetData>
    <row r="1" spans="1:7" x14ac:dyDescent="0.35">
      <c r="A1" s="2" t="s">
        <v>3</v>
      </c>
      <c r="B1" s="2" t="s">
        <v>10</v>
      </c>
      <c r="C1" s="2" t="s">
        <v>4</v>
      </c>
      <c r="D1" s="2" t="s">
        <v>8</v>
      </c>
      <c r="E1" s="2" t="s">
        <v>5</v>
      </c>
      <c r="F1" s="2" t="s">
        <v>6</v>
      </c>
      <c r="G1" s="2" t="s">
        <v>7</v>
      </c>
    </row>
    <row r="2" spans="1:7" x14ac:dyDescent="0.35">
      <c r="A2" s="8">
        <v>1001</v>
      </c>
      <c r="B2" s="8" t="s">
        <v>48</v>
      </c>
      <c r="C2" s="9">
        <v>44472</v>
      </c>
      <c r="D2" s="10" t="s">
        <v>22</v>
      </c>
      <c r="E2" s="8">
        <v>300</v>
      </c>
      <c r="F2" s="8">
        <v>1</v>
      </c>
      <c r="G2" s="11">
        <f t="shared" ref="G2:G7" si="0">E2*F2</f>
        <v>300</v>
      </c>
    </row>
    <row r="3" spans="1:7" x14ac:dyDescent="0.35">
      <c r="A3" s="8">
        <v>1002</v>
      </c>
      <c r="B3" s="8" t="s">
        <v>49</v>
      </c>
      <c r="C3" s="9">
        <v>45200</v>
      </c>
      <c r="D3" s="10" t="s">
        <v>24</v>
      </c>
      <c r="E3" s="8">
        <v>400</v>
      </c>
      <c r="F3" s="8">
        <v>1</v>
      </c>
      <c r="G3" s="11">
        <f t="shared" si="0"/>
        <v>400</v>
      </c>
    </row>
    <row r="4" spans="1:7" x14ac:dyDescent="0.35">
      <c r="A4" s="8">
        <v>2002</v>
      </c>
      <c r="B4" s="8" t="s">
        <v>49</v>
      </c>
      <c r="C4" s="9">
        <v>46359</v>
      </c>
      <c r="D4" s="10" t="s">
        <v>41</v>
      </c>
      <c r="E4" s="8">
        <v>1000</v>
      </c>
      <c r="F4" s="8">
        <v>1</v>
      </c>
      <c r="G4" s="11">
        <f t="shared" si="0"/>
        <v>1000</v>
      </c>
    </row>
    <row r="5" spans="1:7" x14ac:dyDescent="0.35">
      <c r="G5" s="3">
        <f t="shared" si="0"/>
        <v>0</v>
      </c>
    </row>
    <row r="6" spans="1:7" x14ac:dyDescent="0.35">
      <c r="G6" s="3">
        <f t="shared" si="0"/>
        <v>0</v>
      </c>
    </row>
    <row r="7" spans="1:7" x14ac:dyDescent="0.35">
      <c r="G7" s="3">
        <f t="shared" si="0"/>
        <v>0</v>
      </c>
    </row>
  </sheetData>
  <dataValidations count="1">
    <dataValidation type="list" allowBlank="1" showInputMessage="1" showErrorMessage="1" sqref="D2:D4" xr:uid="{F4295282-B3DF-4930-B55B-ABC8FAE7EA7F}">
      <formula1>INDIRECT($A2)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5F24C-EFE0-4566-8F9A-62CDE093C391}">
  <sheetPr codeName="Sheet4"/>
  <dimension ref="A1:F12"/>
  <sheetViews>
    <sheetView workbookViewId="0">
      <selection activeCell="K10" sqref="K10"/>
    </sheetView>
  </sheetViews>
  <sheetFormatPr defaultRowHeight="14.5" x14ac:dyDescent="0.35"/>
  <cols>
    <col min="1" max="1" width="13.81640625" bestFit="1" customWidth="1"/>
    <col min="2" max="2" width="11.90625" bestFit="1" customWidth="1"/>
    <col min="3" max="3" width="8.453125" bestFit="1" customWidth="1"/>
    <col min="4" max="4" width="14.6328125" bestFit="1" customWidth="1"/>
  </cols>
  <sheetData>
    <row r="1" spans="1:6" x14ac:dyDescent="0.35">
      <c r="A1" t="s">
        <v>8</v>
      </c>
      <c r="B1" t="s">
        <v>54</v>
      </c>
      <c r="C1" t="s">
        <v>55</v>
      </c>
      <c r="D1" t="s">
        <v>56</v>
      </c>
    </row>
    <row r="2" spans="1:6" x14ac:dyDescent="0.35">
      <c r="A2" s="10" t="s">
        <v>41</v>
      </c>
      <c r="B2">
        <f>SUMIF('Purchase Data'!D:D,Stocks!A2,'Purchase Data'!F:F)</f>
        <v>30</v>
      </c>
      <c r="C2">
        <f>SUMIF('Sales Data'!D:D,Stocks!A2,'Sales Data'!F:F)</f>
        <v>1</v>
      </c>
      <c r="D2">
        <f t="shared" ref="D2:D12" si="0">B2-C2</f>
        <v>29</v>
      </c>
    </row>
    <row r="3" spans="1:6" x14ac:dyDescent="0.35">
      <c r="A3" s="10" t="s">
        <v>43</v>
      </c>
      <c r="B3">
        <f>SUMIF('Purchase Data'!D:D,Stocks!A3,'Purchase Data'!F:F)</f>
        <v>10</v>
      </c>
      <c r="C3">
        <f>SUMIF('Sales Data'!D:D,Stocks!A3,'Sales Data'!F:F)</f>
        <v>0</v>
      </c>
      <c r="D3">
        <f t="shared" si="0"/>
        <v>10</v>
      </c>
      <c r="F3" t="s">
        <v>8</v>
      </c>
    </row>
    <row r="4" spans="1:6" x14ac:dyDescent="0.35">
      <c r="A4" s="10" t="s">
        <v>34</v>
      </c>
      <c r="B4">
        <f>SUMIF('Purchase Data'!D:D,Stocks!A4,'Purchase Data'!F:F)</f>
        <v>30</v>
      </c>
      <c r="C4">
        <f>SUMIF('Sales Data'!D:D,Stocks!A4,'Sales Data'!F:F)</f>
        <v>0</v>
      </c>
      <c r="D4">
        <f t="shared" si="0"/>
        <v>30</v>
      </c>
      <c r="F4" t="str">
        <f>"&lt;&gt;"</f>
        <v>&lt;&gt;</v>
      </c>
    </row>
    <row r="5" spans="1:6" x14ac:dyDescent="0.35">
      <c r="A5" s="10" t="s">
        <v>31</v>
      </c>
      <c r="B5">
        <f>SUMIF('Purchase Data'!D:D,Stocks!A5,'Purchase Data'!F:F)</f>
        <v>10</v>
      </c>
      <c r="C5">
        <f>SUMIF('Sales Data'!D:D,Stocks!A5,'Sales Data'!F:F)</f>
        <v>0</v>
      </c>
      <c r="D5">
        <f t="shared" si="0"/>
        <v>10</v>
      </c>
    </row>
    <row r="6" spans="1:6" x14ac:dyDescent="0.35">
      <c r="A6" s="16" t="s">
        <v>14</v>
      </c>
      <c r="B6">
        <f>SUMIF('Purchase Data'!D:D,Stocks!A6,'Purchase Data'!F:F)</f>
        <v>2</v>
      </c>
      <c r="C6">
        <f>SUMIF('Sales Data'!D:D,Stocks!A6,'Sales Data'!F:F)</f>
        <v>0</v>
      </c>
      <c r="D6">
        <f t="shared" si="0"/>
        <v>2</v>
      </c>
    </row>
    <row r="7" spans="1:6" x14ac:dyDescent="0.35">
      <c r="B7">
        <f>SUMIF('Purchase Data'!D:D,Stocks!A7,'Purchase Data'!F:F)</f>
        <v>0</v>
      </c>
      <c r="C7">
        <f>SUMIF('Sales Data'!D:D,Stocks!A7,'Sales Data'!F:F)</f>
        <v>0</v>
      </c>
      <c r="D7">
        <f t="shared" si="0"/>
        <v>0</v>
      </c>
    </row>
    <row r="8" spans="1:6" x14ac:dyDescent="0.35">
      <c r="B8">
        <f>SUMIF('Purchase Data'!D:D,Stocks!A8,'Purchase Data'!F:F)</f>
        <v>0</v>
      </c>
      <c r="C8">
        <f>SUMIF('Sales Data'!D:D,Stocks!A8,'Sales Data'!F:F)</f>
        <v>0</v>
      </c>
      <c r="D8">
        <f t="shared" si="0"/>
        <v>0</v>
      </c>
    </row>
    <row r="9" spans="1:6" x14ac:dyDescent="0.35">
      <c r="B9">
        <f>SUMIF('Purchase Data'!D:D,Stocks!A9,'Purchase Data'!F:F)</f>
        <v>0</v>
      </c>
      <c r="C9">
        <f>SUMIF('Sales Data'!D:D,Stocks!A9,'Sales Data'!F:F)</f>
        <v>0</v>
      </c>
      <c r="D9">
        <f t="shared" si="0"/>
        <v>0</v>
      </c>
    </row>
    <row r="10" spans="1:6" x14ac:dyDescent="0.35">
      <c r="B10">
        <f>SUMIF('Purchase Data'!D:D,Stocks!A10,'Purchase Data'!F:F)</f>
        <v>0</v>
      </c>
      <c r="C10">
        <f>SUMIF('Sales Data'!D:D,Stocks!A10,'Sales Data'!F:F)</f>
        <v>0</v>
      </c>
      <c r="D10">
        <f t="shared" si="0"/>
        <v>0</v>
      </c>
    </row>
    <row r="11" spans="1:6" x14ac:dyDescent="0.35">
      <c r="B11">
        <f>SUMIF('Purchase Data'!D:D,Stocks!A11,'Purchase Data'!F:F)</f>
        <v>0</v>
      </c>
      <c r="C11">
        <f>SUMIF('Sales Data'!D:D,Stocks!A11,'Sales Data'!F:F)</f>
        <v>0</v>
      </c>
      <c r="D11">
        <f t="shared" si="0"/>
        <v>0</v>
      </c>
    </row>
    <row r="12" spans="1:6" x14ac:dyDescent="0.35">
      <c r="B12">
        <f>SUMIF('Purchase Data'!D:D,Stocks!A12,'Purchase Data'!F:F)</f>
        <v>0</v>
      </c>
      <c r="C12">
        <f>SUMIF('Sales Data'!D:D,Stocks!A12,'Sales Data'!F:F)</f>
        <v>0</v>
      </c>
      <c r="D12">
        <f t="shared" si="0"/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3BF85-1A65-4118-A007-237198ECC20C}">
  <dimension ref="A1:I10"/>
  <sheetViews>
    <sheetView tabSelected="1" workbookViewId="0">
      <selection activeCell="I4" sqref="I4"/>
    </sheetView>
  </sheetViews>
  <sheetFormatPr defaultRowHeight="14.5" x14ac:dyDescent="0.35"/>
  <cols>
    <col min="6" max="6" width="8.90625" customWidth="1"/>
    <col min="8" max="8" width="12.1796875" customWidth="1"/>
  </cols>
  <sheetData>
    <row r="1" spans="1:9" x14ac:dyDescent="0.35">
      <c r="C1" s="20" t="s">
        <v>61</v>
      </c>
      <c r="D1" s="20"/>
      <c r="E1" s="20"/>
      <c r="F1" s="20"/>
    </row>
    <row r="2" spans="1:9" x14ac:dyDescent="0.35">
      <c r="A2" t="s">
        <v>59</v>
      </c>
      <c r="B2" t="s">
        <v>60</v>
      </c>
      <c r="C2" t="s">
        <v>62</v>
      </c>
      <c r="D2" t="s">
        <v>63</v>
      </c>
      <c r="E2" t="s">
        <v>64</v>
      </c>
      <c r="F2" t="s">
        <v>65</v>
      </c>
      <c r="G2" t="s">
        <v>66</v>
      </c>
      <c r="H2" t="s">
        <v>75</v>
      </c>
      <c r="I2" t="s">
        <v>76</v>
      </c>
    </row>
    <row r="3" spans="1:9" x14ac:dyDescent="0.35">
      <c r="A3" s="7">
        <f>SUBTOTAL(3,$C$3:C3)</f>
        <v>1</v>
      </c>
      <c r="B3" t="s">
        <v>69</v>
      </c>
      <c r="C3">
        <v>89</v>
      </c>
      <c r="D3">
        <v>100</v>
      </c>
      <c r="E3">
        <v>90</v>
      </c>
      <c r="F3">
        <v>82</v>
      </c>
      <c r="G3">
        <f>SUM(C3:F3)</f>
        <v>361</v>
      </c>
      <c r="H3" s="21">
        <f>G3/400</f>
        <v>0.90249999999999997</v>
      </c>
      <c r="I3" t="str">
        <f t="shared" ref="I3:I10" si="0">IF(H3&gt;=60%,"A",IF(H3&gt;=50%,"B",IF(H3&gt;=30%,"C","Fails")))</f>
        <v>A</v>
      </c>
    </row>
    <row r="4" spans="1:9" x14ac:dyDescent="0.35">
      <c r="A4" s="7">
        <f>SUBTOTAL(3,$C$3:C4)</f>
        <v>2</v>
      </c>
      <c r="B4" t="s">
        <v>70</v>
      </c>
      <c r="C4">
        <v>89</v>
      </c>
      <c r="D4">
        <v>69</v>
      </c>
      <c r="E4">
        <v>47</v>
      </c>
      <c r="F4">
        <v>72</v>
      </c>
      <c r="G4">
        <f>SUM(C4:F4)</f>
        <v>277</v>
      </c>
      <c r="H4" s="21">
        <f>G4/400</f>
        <v>0.6925</v>
      </c>
      <c r="I4" t="str">
        <f t="shared" si="0"/>
        <v>A</v>
      </c>
    </row>
    <row r="5" spans="1:9" x14ac:dyDescent="0.35">
      <c r="A5" s="7">
        <f>SUBTOTAL(3,$C$3:C5)</f>
        <v>3</v>
      </c>
      <c r="B5" t="s">
        <v>71</v>
      </c>
      <c r="C5">
        <v>88</v>
      </c>
      <c r="D5">
        <v>53</v>
      </c>
      <c r="E5">
        <v>78</v>
      </c>
      <c r="F5">
        <v>54</v>
      </c>
      <c r="G5">
        <f>SUM(C5:F5)</f>
        <v>273</v>
      </c>
      <c r="H5" s="21">
        <f>G5/400</f>
        <v>0.6825</v>
      </c>
      <c r="I5" t="str">
        <f t="shared" si="0"/>
        <v>A</v>
      </c>
    </row>
    <row r="6" spans="1:9" x14ac:dyDescent="0.35">
      <c r="A6" s="7">
        <f>SUBTOTAL(3,$C$3:C6)</f>
        <v>4</v>
      </c>
      <c r="B6" t="s">
        <v>67</v>
      </c>
      <c r="C6">
        <v>93</v>
      </c>
      <c r="D6">
        <v>69</v>
      </c>
      <c r="E6">
        <v>41</v>
      </c>
      <c r="F6">
        <v>64</v>
      </c>
      <c r="G6">
        <f>SUM(C6:F6)</f>
        <v>267</v>
      </c>
      <c r="H6" s="21">
        <f>G6/400</f>
        <v>0.66749999999999998</v>
      </c>
      <c r="I6" t="str">
        <f t="shared" si="0"/>
        <v>A</v>
      </c>
    </row>
    <row r="7" spans="1:9" x14ac:dyDescent="0.35">
      <c r="A7" s="7">
        <f>SUBTOTAL(3,$C$3:C7)</f>
        <v>5</v>
      </c>
      <c r="B7" t="s">
        <v>68</v>
      </c>
      <c r="C7">
        <v>42</v>
      </c>
      <c r="D7">
        <v>88</v>
      </c>
      <c r="E7">
        <v>72</v>
      </c>
      <c r="F7">
        <v>44</v>
      </c>
      <c r="G7">
        <f>SUM(C7:F7)</f>
        <v>246</v>
      </c>
      <c r="H7" s="21">
        <f>G7/400</f>
        <v>0.61499999999999999</v>
      </c>
      <c r="I7" t="str">
        <f t="shared" si="0"/>
        <v>A</v>
      </c>
    </row>
    <row r="8" spans="1:9" x14ac:dyDescent="0.35">
      <c r="A8" s="7">
        <f>SUBTOTAL(3,$C$3:C8)</f>
        <v>6</v>
      </c>
      <c r="B8" t="s">
        <v>73</v>
      </c>
      <c r="C8">
        <v>85</v>
      </c>
      <c r="D8">
        <v>90</v>
      </c>
      <c r="E8">
        <v>32</v>
      </c>
      <c r="F8">
        <v>37</v>
      </c>
      <c r="G8">
        <f>SUM(C8:F8)</f>
        <v>244</v>
      </c>
      <c r="H8" s="21">
        <f>G8/400</f>
        <v>0.61</v>
      </c>
      <c r="I8" t="str">
        <f t="shared" si="0"/>
        <v>A</v>
      </c>
    </row>
    <row r="9" spans="1:9" x14ac:dyDescent="0.35">
      <c r="A9" s="7">
        <f>SUBTOTAL(3,$C$3:C9)</f>
        <v>7</v>
      </c>
      <c r="B9" t="s">
        <v>74</v>
      </c>
      <c r="C9">
        <v>43</v>
      </c>
      <c r="D9">
        <v>36</v>
      </c>
      <c r="E9">
        <v>44</v>
      </c>
      <c r="F9">
        <v>91</v>
      </c>
      <c r="G9">
        <f>SUM(C9:F9)</f>
        <v>214</v>
      </c>
      <c r="H9" s="21">
        <f>G9/400</f>
        <v>0.53500000000000003</v>
      </c>
      <c r="I9" t="str">
        <f t="shared" si="0"/>
        <v>B</v>
      </c>
    </row>
    <row r="10" spans="1:9" x14ac:dyDescent="0.35">
      <c r="A10" s="7">
        <f>SUBTOTAL(3,$C$3:C10)</f>
        <v>8</v>
      </c>
      <c r="B10" t="s">
        <v>72</v>
      </c>
      <c r="C10">
        <v>34</v>
      </c>
      <c r="D10">
        <v>38</v>
      </c>
      <c r="E10">
        <v>39</v>
      </c>
      <c r="F10">
        <v>46</v>
      </c>
      <c r="G10">
        <f>SUM(C10:F10)</f>
        <v>157</v>
      </c>
      <c r="H10" s="21">
        <f>G10/400</f>
        <v>0.39250000000000002</v>
      </c>
      <c r="I10" t="str">
        <f t="shared" si="0"/>
        <v>C</v>
      </c>
    </row>
  </sheetData>
  <mergeCells count="1">
    <mergeCell ref="C1:F1"/>
  </mergeCells>
  <pageMargins left="0.7" right="0.7" top="0.75" bottom="0.75" header="0.3" footer="0.3"/>
  <ignoredErrors>
    <ignoredError sqref="A4:A10" formulaRange="1"/>
  </ignoredErrors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B37BE-6B29-43D3-9FDA-847D82D1D0CD}">
  <sheetPr codeName="Sheet5"/>
  <dimension ref="A1:D11"/>
  <sheetViews>
    <sheetView workbookViewId="0">
      <selection activeCell="C14" sqref="C14"/>
    </sheetView>
  </sheetViews>
  <sheetFormatPr defaultRowHeight="14.5" x14ac:dyDescent="0.35"/>
  <cols>
    <col min="1" max="1" width="12.36328125" customWidth="1"/>
    <col min="2" max="2" width="15.36328125" customWidth="1"/>
    <col min="3" max="3" width="19.08984375" customWidth="1"/>
    <col min="4" max="4" width="16" customWidth="1"/>
    <col min="5" max="5" width="24.453125" customWidth="1"/>
  </cols>
  <sheetData>
    <row r="1" spans="1:4" x14ac:dyDescent="0.35">
      <c r="A1" t="s">
        <v>35</v>
      </c>
      <c r="B1" t="s">
        <v>45</v>
      </c>
      <c r="C1" t="s">
        <v>46</v>
      </c>
      <c r="D1" t="s">
        <v>47</v>
      </c>
    </row>
    <row r="2" spans="1:4" x14ac:dyDescent="0.35">
      <c r="A2" t="s">
        <v>36</v>
      </c>
      <c r="B2" t="s">
        <v>11</v>
      </c>
      <c r="C2" t="s">
        <v>21</v>
      </c>
      <c r="D2" t="s">
        <v>28</v>
      </c>
    </row>
    <row r="3" spans="1:4" x14ac:dyDescent="0.35">
      <c r="A3" t="s">
        <v>37</v>
      </c>
      <c r="B3" t="s">
        <v>12</v>
      </c>
      <c r="C3" t="s">
        <v>22</v>
      </c>
      <c r="D3" t="s">
        <v>29</v>
      </c>
    </row>
    <row r="4" spans="1:4" x14ac:dyDescent="0.35">
      <c r="A4" t="s">
        <v>38</v>
      </c>
      <c r="B4" t="s">
        <v>13</v>
      </c>
      <c r="C4" t="s">
        <v>23</v>
      </c>
      <c r="D4" t="s">
        <v>25</v>
      </c>
    </row>
    <row r="5" spans="1:4" x14ac:dyDescent="0.35">
      <c r="A5" t="s">
        <v>39</v>
      </c>
      <c r="B5" t="s">
        <v>14</v>
      </c>
      <c r="C5" t="s">
        <v>24</v>
      </c>
      <c r="D5" t="s">
        <v>30</v>
      </c>
    </row>
    <row r="6" spans="1:4" x14ac:dyDescent="0.35">
      <c r="A6" t="s">
        <v>40</v>
      </c>
      <c r="B6" t="s">
        <v>15</v>
      </c>
      <c r="C6" t="s">
        <v>25</v>
      </c>
      <c r="D6" t="s">
        <v>31</v>
      </c>
    </row>
    <row r="7" spans="1:4" x14ac:dyDescent="0.35">
      <c r="A7" t="s">
        <v>41</v>
      </c>
      <c r="B7" t="s">
        <v>16</v>
      </c>
      <c r="C7" t="s">
        <v>26</v>
      </c>
      <c r="D7" t="s">
        <v>32</v>
      </c>
    </row>
    <row r="8" spans="1:4" x14ac:dyDescent="0.35">
      <c r="A8" t="s">
        <v>42</v>
      </c>
      <c r="B8" t="s">
        <v>17</v>
      </c>
      <c r="C8" t="s">
        <v>27</v>
      </c>
      <c r="D8" t="s">
        <v>33</v>
      </c>
    </row>
    <row r="9" spans="1:4" x14ac:dyDescent="0.35">
      <c r="A9" t="s">
        <v>43</v>
      </c>
      <c r="B9" t="s">
        <v>18</v>
      </c>
      <c r="D9" t="s">
        <v>34</v>
      </c>
    </row>
    <row r="10" spans="1:4" x14ac:dyDescent="0.35">
      <c r="A10" t="s">
        <v>44</v>
      </c>
      <c r="B10" t="s">
        <v>19</v>
      </c>
    </row>
    <row r="11" spans="1:4" x14ac:dyDescent="0.35">
      <c r="B11" t="s">
        <v>20</v>
      </c>
    </row>
  </sheetData>
  <phoneticPr fontId="5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Bill Entry</vt:lpstr>
      <vt:lpstr>Purchase Data</vt:lpstr>
      <vt:lpstr>Sales Data</vt:lpstr>
      <vt:lpstr>Stocks</vt:lpstr>
      <vt:lpstr>Sheet1</vt:lpstr>
      <vt:lpstr>Products</vt:lpstr>
      <vt:lpstr>Stocks!Criteria</vt:lpstr>
      <vt:lpstr>Stocks!Extract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Vidhi Singh</dc:creator>
  <cp:lastModifiedBy>Vidhi Singh</cp:lastModifiedBy>
  <dcterms:created xsi:type="dcterms:W3CDTF">2026-08-21T15:33:13Z</dcterms:created>
  <dcterms:modified xsi:type="dcterms:W3CDTF">2026-08-29T17:04:09Z</dcterms:modified>
</cp:coreProperties>
</file>