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6345C3B2-A615-46DC-A800-B7AAC05EADB7}" xr6:coauthVersionLast="47" xr6:coauthVersionMax="47" xr10:uidLastSave="{00000000-0000-0000-0000-000000000000}"/>
  <bookViews>
    <workbookView xWindow="-110" yWindow="-110" windowWidth="19420" windowHeight="10300" activeTab="1" xr2:uid="{D97995C9-14AF-4249-8E39-A7737AE52063}"/>
  </bookViews>
  <sheets>
    <sheet name="Sheet1" sheetId="1" r:id="rId1"/>
    <sheet name="Sheet4" sheetId="4" r:id="rId2"/>
    <sheet name="Sheet3" sheetId="3" r:id="rId3"/>
    <sheet name="Sheet2" sheetId="2" r:id="rId4"/>
  </sheets>
  <definedNames>
    <definedName name="_xlcn.WorksheetConnection_Book1Table11" hidden="1">Table1[]</definedName>
    <definedName name="Slicer_Product">#N/A</definedName>
  </definedNames>
  <calcPr calcId="18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Lst>
</workbook>
</file>

<file path=xl/calcChain.xml><?xml version="1.0" encoding="utf-8"?>
<calcChain xmlns="http://schemas.openxmlformats.org/spreadsheetml/2006/main">
  <c r="L2" i="4" l="1"/>
  <c r="M2" i="4" s="1"/>
  <c r="L3" i="4"/>
  <c r="M3" i="4" s="1"/>
  <c r="L4" i="4"/>
  <c r="M4" i="4" s="1"/>
  <c r="L5" i="4"/>
  <c r="M5" i="4" s="1"/>
  <c r="L6" i="4"/>
  <c r="M6" i="4" s="1"/>
  <c r="L7" i="4"/>
  <c r="M7" i="4" s="1"/>
  <c r="L8" i="4"/>
  <c r="M8" i="4" s="1"/>
  <c r="L9" i="4"/>
  <c r="M9" i="4" s="1"/>
  <c r="L10" i="4"/>
  <c r="M10" i="4" s="1"/>
  <c r="L11" i="4"/>
  <c r="M11" i="4" s="1"/>
  <c r="L12" i="4"/>
  <c r="M12" i="4" s="1"/>
  <c r="L13" i="4"/>
  <c r="M13" i="4" s="1"/>
  <c r="L14" i="4"/>
  <c r="M14" i="4" s="1"/>
  <c r="L15" i="4"/>
  <c r="M15" i="4" s="1"/>
  <c r="L16" i="4"/>
  <c r="M16" i="4" s="1"/>
  <c r="L17" i="4"/>
  <c r="M17" i="4" s="1"/>
  <c r="L18" i="4"/>
  <c r="M18" i="4" s="1"/>
  <c r="L19" i="4"/>
  <c r="M19" i="4" s="1"/>
  <c r="L20" i="4"/>
  <c r="M20" i="4" s="1"/>
  <c r="L21" i="4"/>
  <c r="M21" i="4" s="1"/>
  <c r="L22" i="4"/>
  <c r="M22" i="4" s="1"/>
  <c r="L23" i="4"/>
  <c r="M23" i="4" s="1"/>
  <c r="L24" i="4"/>
  <c r="M24" i="4" s="1"/>
  <c r="L25" i="4"/>
  <c r="M25" i="4" s="1"/>
  <c r="L26" i="4"/>
  <c r="M26" i="4" s="1"/>
  <c r="L27" i="4"/>
  <c r="M27" i="4" s="1"/>
  <c r="L28" i="4"/>
  <c r="M28" i="4" s="1"/>
  <c r="L29" i="4"/>
  <c r="M29" i="4" s="1"/>
  <c r="L30" i="4"/>
  <c r="M30" i="4" s="1"/>
  <c r="L31" i="4"/>
  <c r="M31" i="4" s="1"/>
  <c r="L32" i="4"/>
  <c r="M32" i="4" s="1"/>
  <c r="L33" i="4"/>
  <c r="M33" i="4" s="1"/>
  <c r="L34" i="4"/>
  <c r="M34" i="4" s="1"/>
  <c r="L35" i="4"/>
  <c r="M35" i="4" s="1"/>
  <c r="L36" i="4"/>
  <c r="M36" i="4" s="1"/>
  <c r="L37" i="4"/>
  <c r="M37" i="4" s="1"/>
  <c r="L38" i="4"/>
  <c r="M38" i="4" s="1"/>
  <c r="L39" i="4"/>
  <c r="M39" i="4" s="1"/>
  <c r="L40" i="4"/>
  <c r="M40" i="4" s="1"/>
  <c r="L41" i="4"/>
  <c r="M41" i="4" s="1"/>
  <c r="L42" i="4"/>
  <c r="M42" i="4" s="1"/>
  <c r="L43" i="4"/>
  <c r="M43" i="4" s="1"/>
  <c r="L44" i="4"/>
  <c r="M44" i="4" s="1"/>
  <c r="L45" i="4"/>
  <c r="M45" i="4" s="1"/>
  <c r="L46" i="4"/>
  <c r="M46" i="4" s="1"/>
  <c r="L47" i="4"/>
  <c r="M47" i="4" s="1"/>
  <c r="L48" i="4"/>
  <c r="M48" i="4" s="1"/>
  <c r="L49" i="4"/>
  <c r="M49" i="4" s="1"/>
  <c r="L50" i="4"/>
  <c r="M50" i="4" s="1"/>
  <c r="L51" i="4"/>
  <c r="M51" i="4" s="1"/>
  <c r="L52" i="4"/>
  <c r="M52" i="4" s="1"/>
  <c r="L53" i="4"/>
  <c r="M53" i="4" s="1"/>
  <c r="L54" i="4"/>
  <c r="M54" i="4" s="1"/>
  <c r="L55" i="4"/>
  <c r="M55" i="4" s="1"/>
  <c r="L56" i="4"/>
  <c r="M56" i="4" s="1"/>
  <c r="L57" i="4"/>
  <c r="M57" i="4" s="1"/>
  <c r="L58" i="4"/>
  <c r="M58" i="4" s="1"/>
  <c r="L59" i="4"/>
  <c r="M59" i="4" s="1"/>
  <c r="L60" i="4"/>
  <c r="M60" i="4" s="1"/>
  <c r="L61" i="4"/>
  <c r="M61" i="4" s="1"/>
  <c r="L62" i="4"/>
  <c r="M62" i="4" s="1"/>
  <c r="L63" i="4"/>
  <c r="M63" i="4" s="1"/>
  <c r="L64" i="4"/>
  <c r="M64" i="4" s="1"/>
  <c r="L65" i="4"/>
  <c r="M65" i="4" s="1"/>
  <c r="L66" i="4"/>
  <c r="M66" i="4" s="1"/>
  <c r="L67" i="4"/>
  <c r="M67" i="4" s="1"/>
  <c r="L68" i="4"/>
  <c r="M68" i="4" s="1"/>
  <c r="L69" i="4"/>
  <c r="M69" i="4" s="1"/>
  <c r="L70" i="4"/>
  <c r="M70" i="4" s="1"/>
  <c r="L71" i="4"/>
  <c r="M71" i="4" s="1"/>
  <c r="L72" i="4"/>
  <c r="M72" i="4" s="1"/>
  <c r="L73" i="4"/>
  <c r="M73" i="4" s="1"/>
  <c r="L74" i="4"/>
  <c r="M74" i="4" s="1"/>
  <c r="L75" i="4"/>
  <c r="M75" i="4" s="1"/>
  <c r="L76" i="4"/>
  <c r="M76" i="4" s="1"/>
  <c r="L77" i="4"/>
  <c r="M77" i="4" s="1"/>
  <c r="L78" i="4"/>
  <c r="M78" i="4" s="1"/>
  <c r="L79" i="4"/>
  <c r="M79" i="4" s="1"/>
  <c r="L80" i="4"/>
  <c r="M80" i="4" s="1"/>
  <c r="L81" i="4"/>
  <c r="M81" i="4" s="1"/>
  <c r="L82" i="4"/>
  <c r="M82" i="4" s="1"/>
  <c r="L83" i="4"/>
  <c r="M83" i="4" s="1"/>
  <c r="L84" i="4"/>
  <c r="M84" i="4" s="1"/>
  <c r="L85" i="4"/>
  <c r="M85" i="4" s="1"/>
  <c r="L86" i="4"/>
  <c r="M86" i="4" s="1"/>
  <c r="L87" i="4"/>
  <c r="M87" i="4" s="1"/>
  <c r="L88" i="4"/>
  <c r="M88" i="4" s="1"/>
  <c r="L89" i="4"/>
  <c r="M89" i="4" s="1"/>
  <c r="L90" i="4"/>
  <c r="M90" i="4" s="1"/>
  <c r="L91" i="4"/>
  <c r="M91" i="4" s="1"/>
  <c r="L92" i="4"/>
  <c r="M92" i="4" s="1"/>
  <c r="L93" i="4"/>
  <c r="M93" i="4" s="1"/>
  <c r="L94" i="4"/>
  <c r="M94" i="4" s="1"/>
  <c r="L95" i="4"/>
  <c r="M95" i="4" s="1"/>
  <c r="L96" i="4"/>
  <c r="M96" i="4" s="1"/>
  <c r="L97" i="4"/>
  <c r="M97" i="4" s="1"/>
  <c r="L98" i="4"/>
  <c r="M98" i="4" s="1"/>
  <c r="L99" i="4"/>
  <c r="M99" i="4" s="1"/>
  <c r="L100" i="4"/>
  <c r="M100" i="4" s="1"/>
  <c r="L101" i="4"/>
  <c r="M101" i="4" s="1"/>
  <c r="N3" i="1"/>
  <c r="L3" i="1"/>
  <c r="K4" i="1"/>
  <c r="K3" i="1"/>
  <c r="N97" i="4" l="1"/>
  <c r="N85" i="4"/>
  <c r="N77" i="4"/>
  <c r="N61" i="4"/>
  <c r="N49" i="4"/>
  <c r="N37" i="4"/>
  <c r="N29" i="4"/>
  <c r="N21" i="4"/>
  <c r="N5" i="4"/>
  <c r="N100" i="4"/>
  <c r="N96" i="4"/>
  <c r="N92" i="4"/>
  <c r="N88" i="4"/>
  <c r="N84" i="4"/>
  <c r="N80" i="4"/>
  <c r="N76" i="4"/>
  <c r="N72" i="4"/>
  <c r="N68" i="4"/>
  <c r="N64" i="4"/>
  <c r="N60" i="4"/>
  <c r="N56" i="4"/>
  <c r="N52" i="4"/>
  <c r="N48" i="4"/>
  <c r="N44" i="4"/>
  <c r="N40" i="4"/>
  <c r="N36" i="4"/>
  <c r="N32" i="4"/>
  <c r="N28" i="4"/>
  <c r="N24" i="4"/>
  <c r="N20" i="4"/>
  <c r="N16" i="4"/>
  <c r="N12" i="4"/>
  <c r="N8" i="4"/>
  <c r="N4" i="4"/>
  <c r="N101" i="4"/>
  <c r="N93" i="4"/>
  <c r="N81" i="4"/>
  <c r="N69" i="4"/>
  <c r="N65" i="4"/>
  <c r="N53" i="4"/>
  <c r="N41" i="4"/>
  <c r="N33" i="4"/>
  <c r="N25" i="4"/>
  <c r="N17" i="4"/>
  <c r="N9" i="4"/>
  <c r="N95" i="4"/>
  <c r="N87" i="4"/>
  <c r="N79" i="4"/>
  <c r="N67" i="4"/>
  <c r="N55" i="4"/>
  <c r="N47" i="4"/>
  <c r="N35" i="4"/>
  <c r="N27" i="4"/>
  <c r="N23" i="4"/>
  <c r="N15" i="4"/>
  <c r="N11" i="4"/>
  <c r="N7" i="4"/>
  <c r="N3" i="4"/>
  <c r="N89" i="4"/>
  <c r="N73" i="4"/>
  <c r="N57" i="4"/>
  <c r="N45" i="4"/>
  <c r="N13" i="4"/>
  <c r="N99" i="4"/>
  <c r="N91" i="4"/>
  <c r="N83" i="4"/>
  <c r="N75" i="4"/>
  <c r="N71" i="4"/>
  <c r="N63" i="4"/>
  <c r="N59" i="4"/>
  <c r="N51" i="4"/>
  <c r="N43" i="4"/>
  <c r="N39" i="4"/>
  <c r="N31" i="4"/>
  <c r="N19" i="4"/>
  <c r="N98" i="4"/>
  <c r="N94" i="4"/>
  <c r="N90" i="4"/>
  <c r="N86" i="4"/>
  <c r="N82" i="4"/>
  <c r="N78" i="4"/>
  <c r="N74" i="4"/>
  <c r="N70" i="4"/>
  <c r="N66" i="4"/>
  <c r="N62" i="4"/>
  <c r="N58" i="4"/>
  <c r="N54" i="4"/>
  <c r="N50" i="4"/>
  <c r="N46" i="4"/>
  <c r="N42" i="4"/>
  <c r="N38" i="4"/>
  <c r="N34" i="4"/>
  <c r="N30" i="4"/>
  <c r="N26" i="4"/>
  <c r="N22" i="4"/>
  <c r="N18" i="4"/>
  <c r="N14" i="4"/>
  <c r="N10" i="4"/>
  <c r="N6" i="4"/>
  <c r="N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CB769F-1091-4423-8E49-7A3C912A63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A648304-76C1-4125-8033-CBFAA5986BD8}"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<sst xmlns="http://schemas.openxmlformats.org/spreadsheetml/2006/main" count="881" uniqueCount="143">
  <si>
    <t>Sr.No</t>
  </si>
  <si>
    <t>Product</t>
  </si>
  <si>
    <t>City</t>
  </si>
  <si>
    <t>State</t>
  </si>
  <si>
    <t>Jan Sales</t>
  </si>
  <si>
    <t>Feb Sales</t>
  </si>
  <si>
    <t>Mar Sales</t>
  </si>
  <si>
    <t>Total Sales</t>
  </si>
  <si>
    <t>Laptop</t>
  </si>
  <si>
    <t>Lucknow</t>
  </si>
  <si>
    <t>Uttar Pradesh</t>
  </si>
  <si>
    <t>Mobile</t>
  </si>
  <si>
    <t>Kanpur</t>
  </si>
  <si>
    <t>Tablet</t>
  </si>
  <si>
    <t>Delhi</t>
  </si>
  <si>
    <t>Monitor</t>
  </si>
  <si>
    <t>Jaipur</t>
  </si>
  <si>
    <t>Rajasthan</t>
  </si>
  <si>
    <t>Keyboard</t>
  </si>
  <si>
    <t>Mumbai</t>
  </si>
  <si>
    <t>Maharashtra</t>
  </si>
  <si>
    <t>Mouse</t>
  </si>
  <si>
    <t>Pune</t>
  </si>
  <si>
    <t>Printer</t>
  </si>
  <si>
    <t>Ahmedabad</t>
  </si>
  <si>
    <t>Gujarat</t>
  </si>
  <si>
    <t>Headphone</t>
  </si>
  <si>
    <t>Surat</t>
  </si>
  <si>
    <t>Varanasi</t>
  </si>
  <si>
    <t>Noida</t>
  </si>
  <si>
    <t>Gurugram</t>
  </si>
  <si>
    <t>Haryana</t>
  </si>
  <si>
    <t>Chandigarh</t>
  </si>
  <si>
    <t>Bhopal</t>
  </si>
  <si>
    <t>Madhya Pradesh</t>
  </si>
  <si>
    <t>Indore</t>
  </si>
  <si>
    <t>Nagpur</t>
  </si>
  <si>
    <t>Nashik</t>
  </si>
  <si>
    <t>Agra</t>
  </si>
  <si>
    <t>Meerut</t>
  </si>
  <si>
    <t>Amritsar</t>
  </si>
  <si>
    <t>Punjab</t>
  </si>
  <si>
    <t>Ludhiana</t>
  </si>
  <si>
    <t>Patna</t>
  </si>
  <si>
    <t>Bihar</t>
  </si>
  <si>
    <t>Gaya</t>
  </si>
  <si>
    <t>Ranchi</t>
  </si>
  <si>
    <t>Jharkhand</t>
  </si>
  <si>
    <t>Jamshedpur</t>
  </si>
  <si>
    <t>Kolkata</t>
  </si>
  <si>
    <t>West Bengal</t>
  </si>
  <si>
    <t>Durgapur</t>
  </si>
  <si>
    <t>Bhubaneswar</t>
  </si>
  <si>
    <t>Odisha</t>
  </si>
  <si>
    <t>Cuttack</t>
  </si>
  <si>
    <t>Guwahati</t>
  </si>
  <si>
    <t>Assam</t>
  </si>
  <si>
    <t>Silchar</t>
  </si>
  <si>
    <t>Bengaluru</t>
  </si>
  <si>
    <t>Karnataka</t>
  </si>
  <si>
    <t>Mysore</t>
  </si>
  <si>
    <t>Hyderabad</t>
  </si>
  <si>
    <t>Telangana</t>
  </si>
  <si>
    <t>Warangal</t>
  </si>
  <si>
    <t>Chennai</t>
  </si>
  <si>
    <t>Tamil Nadu</t>
  </si>
  <si>
    <t>Coimbatore</t>
  </si>
  <si>
    <t>Kochi</t>
  </si>
  <si>
    <t>Kerala</t>
  </si>
  <si>
    <t>Kozhikode</t>
  </si>
  <si>
    <t>Vijayawada</t>
  </si>
  <si>
    <t>Andhra Pradesh</t>
  </si>
  <si>
    <t>Visakhapatnam</t>
  </si>
  <si>
    <t>Jodhpur</t>
  </si>
  <si>
    <t>Udaipur</t>
  </si>
  <si>
    <t>Kota</t>
  </si>
  <si>
    <t>Dehradun</t>
  </si>
  <si>
    <t>Uttarakhand</t>
  </si>
  <si>
    <t>Haridwar</t>
  </si>
  <si>
    <t>Shimla</t>
  </si>
  <si>
    <t>Himachal Pradesh</t>
  </si>
  <si>
    <t>Manali</t>
  </si>
  <si>
    <t>Srinagar</t>
  </si>
  <si>
    <t>Jammu &amp; Kashmir</t>
  </si>
  <si>
    <t>Jammu</t>
  </si>
  <si>
    <t>Raipur</t>
  </si>
  <si>
    <t>Chhattisgarh</t>
  </si>
  <si>
    <t>Bilaspur</t>
  </si>
  <si>
    <t>Bokaro</t>
  </si>
  <si>
    <t>Panaji</t>
  </si>
  <si>
    <t>Goa</t>
  </si>
  <si>
    <t>Margao</t>
  </si>
  <si>
    <t>Thane</t>
  </si>
  <si>
    <t>Aurangabad</t>
  </si>
  <si>
    <t>Kolhapur</t>
  </si>
  <si>
    <t>Vadodara</t>
  </si>
  <si>
    <t>Rajkot</t>
  </si>
  <si>
    <t>Bhavnagar</t>
  </si>
  <si>
    <t>Faridabad</t>
  </si>
  <si>
    <t>Panipat</t>
  </si>
  <si>
    <t>Rohtak</t>
  </si>
  <si>
    <t>Patiala</t>
  </si>
  <si>
    <t>Jalandhar</t>
  </si>
  <si>
    <t>Bathinda</t>
  </si>
  <si>
    <t>Muzaffarpur</t>
  </si>
  <si>
    <t>Bhagalpur</t>
  </si>
  <si>
    <t>Siliguri</t>
  </si>
  <si>
    <t>Howrah</t>
  </si>
  <si>
    <t>Asansol</t>
  </si>
  <si>
    <t>Mangalore</t>
  </si>
  <si>
    <t>Hubli</t>
  </si>
  <si>
    <t>Belgaum</t>
  </si>
  <si>
    <t>Madurai</t>
  </si>
  <si>
    <t>Salem</t>
  </si>
  <si>
    <t>Tiruchirappalli</t>
  </si>
  <si>
    <t>Karimnagar</t>
  </si>
  <si>
    <t>Thrissur</t>
  </si>
  <si>
    <t>Jabalpur</t>
  </si>
  <si>
    <t>Gwalior</t>
  </si>
  <si>
    <t>Prayagraj</t>
  </si>
  <si>
    <t>Bareilly</t>
  </si>
  <si>
    <t>Gorakhpur</t>
  </si>
  <si>
    <t>Total Jan Sales</t>
  </si>
  <si>
    <t>Total Feb Sales</t>
  </si>
  <si>
    <t>States</t>
  </si>
  <si>
    <t>Row Labels</t>
  </si>
  <si>
    <t>Grand Total</t>
  </si>
  <si>
    <t>Sum of Jan Sales</t>
  </si>
  <si>
    <t>Sum of Feb Sales</t>
  </si>
  <si>
    <t>Sum of Mar Sales</t>
  </si>
  <si>
    <t>Category</t>
  </si>
  <si>
    <t>Opening Stock</t>
  </si>
  <si>
    <t>Purchases</t>
  </si>
  <si>
    <t>Sales</t>
  </si>
  <si>
    <t>Unit Cost</t>
  </si>
  <si>
    <t>Reorder Level</t>
  </si>
  <si>
    <t>Lead Time</t>
  </si>
  <si>
    <t>Electronics</t>
  </si>
  <si>
    <t>Accessories</t>
  </si>
  <si>
    <t>Ajmer</t>
  </si>
  <si>
    <t>Closing Stock</t>
  </si>
  <si>
    <t>Unit Price per</t>
  </si>
  <si>
    <t>Stock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</si>
</sst>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0" fillId="0" borderId="0" xfId="0" pivotButton="1"/>
    <xf numFmtId="0" fontId="0" fillId="0" borderId="0" xfId="0" applyAlignment="1">
      <alignment horizontal="left"/>
    </xf>
    <xf numFmtId="0" fontId="0" fillId="0" borderId="0" xfId="0" applyAlignment="1">
      <alignment horizontal="right" vertical="center"/>
    </xf>
    <xf numFmtId="0" fontId="0" fillId="0" borderId="0" xfId="0" applyAlignment="1">
      <alignment vertical="center"/>
    </xf>
    <xf numFmtId="0" fontId="1" fillId="0" borderId="0" xfId="0" applyFont="1" applyAlignment="1">
      <alignment horizontal="right" vertical="center"/>
    </xf>
    <xf numFmtId="1" fontId="0" fillId="0" borderId="0" xfId="0" applyNumberFormat="1" applyAlignment="1">
      <alignment horizontal="right" vertical="center"/>
    </xf>
  </cellXfs>
  <cellStyles count="1">
    <cellStyle name="Normal" xfId="0" builtinId="0"/>
  </cellStyles>
  <dxfs count="26">
    <dxf>
      <numFmt numFmtId="0" formatCode="General"/>
      <alignment horizontal="right" vertical="center" textRotation="0" wrapText="0" indent="0" justifyLastLine="0" shrinkToFit="0" readingOrder="0"/>
    </dxf>
    <dxf>
      <numFmt numFmtId="1" formatCode="0"/>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drawings/drawing1.xml><?xml version="1.0" encoding="utf-8"?>
<xdr:wsDr xmlns:xdr="http://schemas.openxmlformats.org/drawingml/2006/spreadsheetDrawing" xmlns:a="http://schemas.openxmlformats.org/drawingml/2006/main">
  <xdr:twoCellAnchor>
    <xdr:from>
      <xdr:col>9</xdr:col>
      <xdr:colOff>304800</xdr:colOff>
      <xdr:row>5</xdr:row>
      <xdr:rowOff>152400</xdr:rowOff>
    </xdr:from>
    <xdr:to>
      <xdr:col>10</xdr:col>
      <xdr:colOff>571500</xdr:colOff>
      <xdr:row>9</xdr:row>
      <xdr:rowOff>82550</xdr:rowOff>
    </xdr:to>
    <xdr:sp macro="" textlink="$K$3">
      <xdr:nvSpPr>
        <xdr:cNvPr id="3" name="Rectangle: Rounded Corners 2">
          <a:extLst>
            <a:ext uri="{FF2B5EF4-FFF2-40B4-BE49-F238E27FC236}">
              <a16:creationId xmlns:a16="http://schemas.microsoft.com/office/drawing/2014/main" id="{7D4D5AA6-5F3E-DE6D-9ABB-FB100A67AA3E}"/>
            </a:ext>
          </a:extLst>
        </xdr:cNvPr>
        <xdr:cNvSpPr/>
      </xdr:nvSpPr>
      <xdr:spPr>
        <a:xfrm>
          <a:off x="6661150" y="1073150"/>
          <a:ext cx="116840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CE8B0DD-FF18-4E9E-A2E5-E26B36EC29DB}" type="TxLink">
            <a:rPr lang="en-US" sz="1100" b="0" i="0" u="none" strike="noStrike">
              <a:solidFill>
                <a:srgbClr val="000000"/>
              </a:solidFill>
              <a:latin typeface="Calibri"/>
              <a:ea typeface="Calibri"/>
              <a:cs typeface="Calibri"/>
            </a:rPr>
            <a:pPr algn="l"/>
            <a:t>6255000</a:t>
          </a:fld>
          <a:endParaRPr lang="en-US" sz="1100"/>
        </a:p>
      </xdr:txBody>
    </xdr:sp>
    <xdr:clientData/>
  </xdr:twoCellAnchor>
  <xdr:twoCellAnchor>
    <xdr:from>
      <xdr:col>11</xdr:col>
      <xdr:colOff>69850</xdr:colOff>
      <xdr:row>5</xdr:row>
      <xdr:rowOff>171450</xdr:rowOff>
    </xdr:from>
    <xdr:to>
      <xdr:col>12</xdr:col>
      <xdr:colOff>6350</xdr:colOff>
      <xdr:row>9</xdr:row>
      <xdr:rowOff>82550</xdr:rowOff>
    </xdr:to>
    <xdr:sp macro="" textlink="$K$4">
      <xdr:nvSpPr>
        <xdr:cNvPr id="4" name="Rectangle: Rounded Corners 3">
          <a:extLst>
            <a:ext uri="{FF2B5EF4-FFF2-40B4-BE49-F238E27FC236}">
              <a16:creationId xmlns:a16="http://schemas.microsoft.com/office/drawing/2014/main" id="{5DA838D4-1F0E-4031-89E9-A283CF3644E0}"/>
            </a:ext>
          </a:extLst>
        </xdr:cNvPr>
        <xdr:cNvSpPr/>
      </xdr:nvSpPr>
      <xdr:spPr>
        <a:xfrm>
          <a:off x="7937500" y="1092200"/>
          <a:ext cx="109855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12BEE42-17FD-4064-BF49-0642CA09A8B4}" type="TxLink">
            <a:rPr lang="en-US" sz="1100" b="0" i="0" u="none" strike="noStrike">
              <a:solidFill>
                <a:srgbClr val="000000"/>
              </a:solidFill>
              <a:latin typeface="Calibri"/>
              <a:ea typeface="Calibri"/>
              <a:cs typeface="Calibri"/>
            </a:rPr>
            <a:pPr algn="l"/>
            <a:t>6835000</a:t>
          </a:fld>
          <a:endParaRPr lang="en-US" sz="1100"/>
        </a:p>
      </xdr:txBody>
    </xdr:sp>
    <xdr:clientData/>
  </xdr:twoCellAnchor>
  <xdr:twoCellAnchor>
    <xdr:from>
      <xdr:col>10</xdr:col>
      <xdr:colOff>76200</xdr:colOff>
      <xdr:row>11</xdr:row>
      <xdr:rowOff>114300</xdr:rowOff>
    </xdr:from>
    <xdr:to>
      <xdr:col>11</xdr:col>
      <xdr:colOff>793750</xdr:colOff>
      <xdr:row>15</xdr:row>
      <xdr:rowOff>19050</xdr:rowOff>
    </xdr:to>
    <xdr:sp macro="" textlink="$L$3">
      <xdr:nvSpPr>
        <xdr:cNvPr id="5" name="Rectangle: Rounded Corners 4">
          <a:extLst>
            <a:ext uri="{FF2B5EF4-FFF2-40B4-BE49-F238E27FC236}">
              <a16:creationId xmlns:a16="http://schemas.microsoft.com/office/drawing/2014/main" id="{01A4CBA1-F363-4E94-9711-779AABFFD67A}"/>
            </a:ext>
          </a:extLst>
        </xdr:cNvPr>
        <xdr:cNvSpPr/>
      </xdr:nvSpPr>
      <xdr:spPr>
        <a:xfrm>
          <a:off x="7334250" y="2139950"/>
          <a:ext cx="1327150" cy="641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6CA93DE-DAF7-427F-B280-BB6A2062C021}" type="TxLink">
            <a:rPr lang="en-US" sz="1100" b="0" i="0" u="none" strike="noStrike">
              <a:solidFill>
                <a:srgbClr val="000000"/>
              </a:solidFill>
              <a:latin typeface="Calibri"/>
              <a:ea typeface="Calibri"/>
              <a:cs typeface="Calibri"/>
            </a:rPr>
            <a:pPr algn="l"/>
            <a:t>684000</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1050290</xdr:colOff>
      <xdr:row>3</xdr:row>
      <xdr:rowOff>87630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C83316A3-3328-8C83-04C2-83AC82BE057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0"/>
              <a:ext cx="786384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5.927085532407" backgroundQuery="1" createdVersion="8" refreshedVersion="8" minRefreshableVersion="3" recordCount="0" supportSubquery="1" supportAdvancedDrill="1" xr:uid="{9A53C2E7-6C5F-4933-8ECD-7B5D4F195D34}">
  <cacheSource type="external" connectionId="1"/>
  <cacheFields count="5">
    <cacheField name="[Measures].[Sum of Jan Sales]" caption="Sum of Jan Sales" numFmtId="0" hierarchy="10" level="32767"/>
    <cacheField name="[Measures].[Sum of Feb Sales]" caption="Sum of Feb Sales" numFmtId="0" hierarchy="11" level="32767"/>
    <cacheField name="[Measures].[Sum of Mar Sales]" caption="Sum of Mar Sales" numFmtId="0" hierarchy="12" level="32767"/>
    <cacheField name="[Table1].[State].[State]" caption="State" numFmtId="0" hierarchy="3" level="1">
      <sharedItems count="24">
        <s v="Andhra Pradesh"/>
        <s v="Assam"/>
        <s v="Bihar"/>
        <s v="Chandigarh"/>
        <s v="Chhattisgarh"/>
        <s v="Delhi"/>
        <s v="Goa"/>
        <s v="Gujarat"/>
        <s v="Haryana"/>
        <s v="Himachal Pradesh"/>
        <s v="Jammu &amp; Kashmir"/>
        <s v="Jharkhand"/>
        <s v="Karnataka"/>
        <s v="Kerala"/>
        <s v="Madhya Pradesh"/>
        <s v="Maharashtra"/>
        <s v="Odisha"/>
        <s v="Punjab"/>
        <s v="Rajasthan"/>
        <s v="Tamil Nadu"/>
        <s v="Telangana"/>
        <s v="Uttar Pradesh"/>
        <s v="Uttarakhand"/>
        <s v="West Bengal"/>
      </sharedItems>
    </cacheField>
    <cacheField name="[Table1].[Product].[Product]" caption="Product" numFmtId="0" hierarchy="1" level="1">
      <sharedItems containsSemiMixedTypes="0" containsNonDate="0" containsString="0"/>
    </cacheField>
  </cacheFields>
  <cacheHierarchies count="13">
    <cacheHierarchy uniqueName="[Table1].[Sr.No]" caption="Sr.No" attribute="1" defaultMemberUniqueName="[Table1].[Sr.No].[All]" allUniqueName="[Table1].[Sr.No].[All]" dimensionUniqueName="[Table1]" displayFolder="" count="2" memberValueDatatype="20" unbalanced="0"/>
    <cacheHierarchy uniqueName="[Table1].[Product]" caption="Product" attribute="1" defaultMemberUniqueName="[Table1].[Product].[All]" allUniqueName="[Table1].[Product].[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3"/>
      </fieldsUsage>
    </cacheHierarchy>
    <cacheHierarchy uniqueName="[Table1].[Jan Sales]" caption="Jan Sales" attribute="1" defaultMemberUniqueName="[Table1].[Jan Sales].[All]" allUniqueName="[Table1].[Jan Sales].[All]" dimensionUniqueName="[Table1]" displayFolder="" count="2" memberValueDatatype="20" unbalanced="0"/>
    <cacheHierarchy uniqueName="[Table1].[Feb Sales]" caption="Feb Sales" attribute="1" defaultMemberUniqueName="[Table1].[Feb Sales].[All]" allUniqueName="[Table1].[Feb Sales].[All]" dimensionUniqueName="[Table1]" displayFolder="" count="2" memberValueDatatype="20" unbalanced="0"/>
    <cacheHierarchy uniqueName="[Table1].[Mar Sales]" caption="Mar Sales" attribute="1" defaultMemberUniqueName="[Table1].[Mar Sales].[All]" allUniqueName="[Table1].[Mar Sales].[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Jan Sales]" caption="Sum of Jan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Feb Sales]" caption="Sum of Feb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Mar Sales]" caption="Sum of Mar Sales"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5.927085995369" backgroundQuery="1" createdVersion="8" refreshedVersion="8" minRefreshableVersion="3" recordCount="0" supportSubquery="1" supportAdvancedDrill="1" xr:uid="{D5DD0DD5-3741-44BB-9713-7213F5BD5630}">
  <cacheSource type="external" connectionId="1"/>
  <cacheFields count="5">
    <cacheField name="[Measures].[Sum of Jan Sales]" caption="Sum of Jan Sales" numFmtId="0" hierarchy="10" level="32767"/>
    <cacheField name="[Measures].[Sum of Feb Sales]" caption="Sum of Feb Sales" numFmtId="0" hierarchy="11" level="32767"/>
    <cacheField name="[Measures].[Sum of Mar Sales]" caption="Sum of Mar Sales" numFmtId="0" hierarchy="12" level="32767"/>
    <cacheField name="[Table1].[City].[City]" caption="City" numFmtId="0" hierarchy="2" level="1">
      <sharedItems count="84">
        <s v="Agra"/>
        <s v="Ahmedabad"/>
        <s v="Amritsar"/>
        <s v="Asansol"/>
        <s v="Aurangabad"/>
        <s v="Bareilly"/>
        <s v="Bathinda"/>
        <s v="Belgaum"/>
        <s v="Bengaluru"/>
        <s v="Bhagalpur"/>
        <s v="Bhavnagar"/>
        <s v="Bhopal"/>
        <s v="Bhubaneswar"/>
        <s v="Bilaspur"/>
        <s v="Bokaro"/>
        <s v="Chandigarh"/>
        <s v="Chennai"/>
        <s v="Coimbatore"/>
        <s v="Cuttack"/>
        <s v="Dehradun"/>
        <s v="Delhi"/>
        <s v="Durgapur"/>
        <s v="Faridabad"/>
        <s v="Gaya"/>
        <s v="Gorakhpur"/>
        <s v="Gurugram"/>
        <s v="Guwahati"/>
        <s v="Gwalior"/>
        <s v="Haridwar"/>
        <s v="Howrah"/>
        <s v="Hubli"/>
        <s v="Hyderabad"/>
        <s v="Indore"/>
        <s v="Jabalpur"/>
        <s v="Jaipur"/>
        <s v="Jalandhar"/>
        <s v="Jammu"/>
        <s v="Jamshedpur"/>
        <s v="Jodhpur"/>
        <s v="Kanpur"/>
        <s v="Karimnagar"/>
        <s v="Kochi"/>
        <s v="Kolhapur"/>
        <s v="Kolkata"/>
        <s v="Kota"/>
        <s v="Kozhikode"/>
        <s v="Lucknow"/>
        <s v="Ludhiana"/>
        <s v="Madurai"/>
        <s v="Manali"/>
        <s v="Mangalore"/>
        <s v="Margao"/>
        <s v="Meerut"/>
        <s v="Mumbai"/>
        <s v="Muzaffarpur"/>
        <s v="Mysore"/>
        <s v="Nagpur"/>
        <s v="Nashik"/>
        <s v="Noida"/>
        <s v="Panaji"/>
        <s v="Panipat"/>
        <s v="Patiala"/>
        <s v="Patna"/>
        <s v="Prayagraj"/>
        <s v="Pune"/>
        <s v="Raipur"/>
        <s v="Rajkot"/>
        <s v="Ranchi"/>
        <s v="Rohtak"/>
        <s v="Salem"/>
        <s v="Shimla"/>
        <s v="Silchar"/>
        <s v="Siliguri"/>
        <s v="Srinagar"/>
        <s v="Surat"/>
        <s v="Thane"/>
        <s v="Thrissur"/>
        <s v="Tiruchirappalli"/>
        <s v="Udaipur"/>
        <s v="Vadodara"/>
        <s v="Varanasi"/>
        <s v="Vijayawada"/>
        <s v="Visakhapatnam"/>
        <s v="Warangal"/>
      </sharedItems>
    </cacheField>
    <cacheField name="[Table1].[Product].[Product]" caption="Product" numFmtId="0" hierarchy="1" level="1">
      <sharedItems containsSemiMixedTypes="0" containsNonDate="0" containsString="0"/>
    </cacheField>
  </cacheFields>
  <cacheHierarchies count="13">
    <cacheHierarchy uniqueName="[Table1].[Sr.No]" caption="Sr.No" attribute="1" defaultMemberUniqueName="[Table1].[Sr.No].[All]" allUniqueName="[Table1].[Sr.No].[All]" dimensionUniqueName="[Table1]" displayFolder="" count="2" memberValueDatatype="20" unbalanced="0"/>
    <cacheHierarchy uniqueName="[Table1].[Product]" caption="Product" attribute="1" defaultMemberUniqueName="[Table1].[Product].[All]" allUniqueName="[Table1].[Product].[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2" memberValueDatatype="130" unbalanced="0"/>
    <cacheHierarchy uniqueName="[Table1].[Jan Sales]" caption="Jan Sales" attribute="1" defaultMemberUniqueName="[Table1].[Jan Sales].[All]" allUniqueName="[Table1].[Jan Sales].[All]" dimensionUniqueName="[Table1]" displayFolder="" count="2" memberValueDatatype="20" unbalanced="0"/>
    <cacheHierarchy uniqueName="[Table1].[Feb Sales]" caption="Feb Sales" attribute="1" defaultMemberUniqueName="[Table1].[Feb Sales].[All]" allUniqueName="[Table1].[Feb Sales].[All]" dimensionUniqueName="[Table1]" displayFolder="" count="2" memberValueDatatype="20" unbalanced="0"/>
    <cacheHierarchy uniqueName="[Table1].[Mar Sales]" caption="Mar Sales" attribute="1" defaultMemberUniqueName="[Table1].[Mar Sales].[All]" allUniqueName="[Table1].[Mar Sales].[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Jan Sales]" caption="Sum of Jan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Feb Sales]" caption="Sum of Feb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Mar Sales]" caption="Sum of Mar Sales"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5.929353703701" backgroundQuery="1" createdVersion="8" refreshedVersion="8" minRefreshableVersion="3" recordCount="0" supportSubquery="1" supportAdvancedDrill="1" xr:uid="{5CF81E75-38B4-46A6-AC0E-50635F78490B}">
  <cacheSource type="external" connectionId="1"/>
  <cacheFields count="2">
    <cacheField name="[Measures].[Sum of Jan Sales]" caption="Sum of Jan Sales" numFmtId="0" hierarchy="10" level="32767"/>
    <cacheField name="[Table1].[City].[City]" caption="City" numFmtId="0" hierarchy="2" level="1">
      <sharedItems count="10">
        <s v="Agra"/>
        <s v="Bengaluru"/>
        <s v="Delhi"/>
        <s v="Hyderabad"/>
        <s v="Jaipur"/>
        <s v="Kolkata"/>
        <s v="Lucknow"/>
        <s v="Mumbai"/>
        <s v="Patna"/>
        <s v="Varanasi"/>
      </sharedItems>
    </cacheField>
  </cacheFields>
  <cacheHierarchies count="13">
    <cacheHierarchy uniqueName="[Table1].[Sr.No]" caption="Sr.No" attribute="1" defaultMemberUniqueName="[Table1].[Sr.No].[All]" allUniqueName="[Table1].[Sr.No].[All]" dimensionUniqueName="[Table1]" displayFolder="" count="2" memberValueDatatype="20" unbalanced="0"/>
    <cacheHierarchy uniqueName="[Table1].[Product]" caption="Product" attribute="1" defaultMemberUniqueName="[Table1].[Product].[All]" allUniqueName="[Table1].[Produc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2" memberValueDatatype="130" unbalanced="0"/>
    <cacheHierarchy uniqueName="[Table1].[Jan Sales]" caption="Jan Sales" attribute="1" defaultMemberUniqueName="[Table1].[Jan Sales].[All]" allUniqueName="[Table1].[Jan Sales].[All]" dimensionUniqueName="[Table1]" displayFolder="" count="2" memberValueDatatype="20" unbalanced="0"/>
    <cacheHierarchy uniqueName="[Table1].[Feb Sales]" caption="Feb Sales" attribute="1" defaultMemberUniqueName="[Table1].[Feb Sales].[All]" allUniqueName="[Table1].[Feb Sales].[All]" dimensionUniqueName="[Table1]" displayFolder="" count="2" memberValueDatatype="20" unbalanced="0"/>
    <cacheHierarchy uniqueName="[Table1].[Mar Sales]" caption="Mar Sales" attribute="1" defaultMemberUniqueName="[Table1].[Mar Sales].[All]" allUniqueName="[Table1].[Mar Sales].[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Jan Sales]" caption="Sum of Jan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Feb Sales]" caption="Sum of Feb Sales" measure="1" displayFolder="" measureGroup="Table1" count="0" hidden="1">
      <extLst>
        <ext xmlns:x15="http://schemas.microsoft.com/office/spreadsheetml/2010/11/main" uri="{B97F6D7D-B522-45F9-BDA1-12C45D357490}">
          <x15:cacheHierarchy aggregatedColumn="5"/>
        </ext>
      </extLst>
    </cacheHierarchy>
    <cacheHierarchy uniqueName="[Measures].[Sum of Mar Sales]" caption="Sum of Mar Sales"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5.925280439813" backgroundQuery="1" createdVersion="3" refreshedVersion="8" minRefreshableVersion="3" recordCount="0" supportSubquery="1" supportAdvancedDrill="1" xr:uid="{C6B1C084-FA0B-417C-8D62-8E99D77EB814}">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Sr.No]" caption="Sr.No" attribute="1" defaultMemberUniqueName="[Table1].[Sr.No].[All]" allUniqueName="[Table1].[Sr.No].[All]" dimensionUniqueName="[Table1]" displayFolder="" count="0" memberValueDatatype="20" unbalanced="0"/>
    <cacheHierarchy uniqueName="[Table1].[Product]" caption="Product" attribute="1" defaultMemberUniqueName="[Table1].[Product].[All]" allUniqueName="[Table1].[Product].[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Jan Sales]" caption="Jan Sales" attribute="1" defaultMemberUniqueName="[Table1].[Jan Sales].[All]" allUniqueName="[Table1].[Jan Sales].[All]" dimensionUniqueName="[Table1]" displayFolder="" count="0" memberValueDatatype="20" unbalanced="0"/>
    <cacheHierarchy uniqueName="[Table1].[Feb Sales]" caption="Feb Sales" attribute="1" defaultMemberUniqueName="[Table1].[Feb Sales].[All]" allUniqueName="[Table1].[Feb Sales].[All]" dimensionUniqueName="[Table1]" displayFolder="" count="0" memberValueDatatype="20" unbalanced="0"/>
    <cacheHierarchy uniqueName="[Table1].[Mar Sales]" caption="Mar Sales" attribute="1" defaultMemberUniqueName="[Table1].[Mar Sales].[All]" allUniqueName="[Table1].[Mar Sales].[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Jan Sales]" caption="Sum of Jan Sales" measure="1" displayFolder="" measureGroup="Table1" count="0" hidden="1">
      <extLst>
        <ext xmlns:x15="http://schemas.microsoft.com/office/spreadsheetml/2010/11/main" uri="{B97F6D7D-B522-45F9-BDA1-12C45D357490}">
          <x15:cacheHierarchy aggregatedColumn="4"/>
        </ext>
      </extLst>
    </cacheHierarchy>
    <cacheHierarchy uniqueName="[Measures].[Sum of Feb Sales]" caption="Sum of Feb Sales" measure="1" displayFolder="" measureGroup="Table1" count="0" hidden="1">
      <extLst>
        <ext xmlns:x15="http://schemas.microsoft.com/office/spreadsheetml/2010/11/main" uri="{B97F6D7D-B522-45F9-BDA1-12C45D357490}">
          <x15:cacheHierarchy aggregatedColumn="5"/>
        </ext>
      </extLst>
    </cacheHierarchy>
    <cacheHierarchy uniqueName="[Measures].[Sum of Mar Sales]" caption="Sum of Mar Sales"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1278607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A3EC2E-1EB9-4F34-ADDA-E5973C72A86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16"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Jan Sales" fld="0" baseField="0" baseItem="0"/>
  </dataFields>
  <pivotHierarchies count="13">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E31482-784F-4DFC-A780-D14EBDFC19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I30"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Jan Sales" fld="0" baseField="0" baseItem="0"/>
    <dataField name="Sum of Mar Sales" fld="2" baseField="0" baseItem="0"/>
    <dataField name="Sum of Feb Sales" fld="1" baseField="0" baseItem="0"/>
  </dataFields>
  <pivotHierarchies count="13">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ABC38F-7E63-47CA-8385-5AA08429D83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90"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allDrilled="1" subtotalTop="0" showAll="0" dataSourceSort="1" defaultSubtotal="0" defaultAttributeDrillState="1"/>
  </pivotFields>
  <rowFields count="1">
    <field x="3"/>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Fields count="1">
    <field x="-2"/>
  </colFields>
  <colItems count="3">
    <i>
      <x/>
    </i>
    <i i="1">
      <x v="1"/>
    </i>
    <i i="2">
      <x v="2"/>
    </i>
  </colItems>
  <dataFields count="3">
    <dataField name="Sum of Jan Sales" fld="0" baseField="0" baseItem="0"/>
    <dataField name="Sum of Mar Sales" fld="2" baseField="0" baseItem="0"/>
    <dataField name="Sum of Feb Sales" fld="1" baseField="0" baseItem="0"/>
  </dataFields>
  <pivotHierarchies count="13">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36B168-AC7D-4651-947B-37DD53023C27}" sourceName="[Table1].[Product]">
  <pivotTables>
    <pivotTable tabId="3" name="PivotTable2"/>
    <pivotTable tabId="3" name="PivotTable1"/>
    <pivotTable tabId="3" name="PivotTable3"/>
  </pivotTables>
  <data>
    <olap pivotCacheId="1127860735">
      <levels count="2">
        <level uniqueName="[Table1].[Product].[(All)]" sourceCaption="(All)" count="0"/>
        <level uniqueName="[Table1].[Product].[Product]" sourceCaption="Product" count="8">
          <ranges>
            <range startItem="0">
              <i n="[Table1].[Product].&amp;[Headphone]" c="Headphone"/>
              <i n="[Table1].[Product].&amp;[Keyboard]" c="Keyboard"/>
              <i n="[Table1].[Product].&amp;[Laptop]" c="Laptop"/>
              <i n="[Table1].[Product].&amp;[Mobile]" c="Mobile"/>
              <i n="[Table1].[Product].&amp;[Monitor]" c="Monitor"/>
              <i n="[Table1].[Product].&amp;[Mouse]" c="Mouse"/>
              <i n="[Table1].[Product].&amp;[Printer]" c="Printer"/>
              <i n="[Table1].[Product].&amp;[Tablet]" c="Tablet"/>
            </range>
          </ranges>
        </level>
      </levels>
      <selections count="1">
        <selection n="[Table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02F964C-E552-4A82-BEE0-216BBBB06BC6}" cache="Slicer_Product" caption="Product" columnCount="8" level="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38305D-BA3D-45F7-B3D6-F4661DEDB704}" name="Table1" displayName="Table1" ref="A1:H101" totalsRowShown="0" headerRowDxfId="25" dataDxfId="24">
  <autoFilter ref="A1:H101" xr:uid="{E338305D-BA3D-45F7-B3D6-F4661DEDB704}"/>
  <tableColumns count="8">
    <tableColumn id="1" xr3:uid="{FC4F2BE6-4654-43B7-B2E3-F324D3BF7B8E}" name="Sr.No" dataDxfId="23"/>
    <tableColumn id="2" xr3:uid="{2B45DE49-58DF-4108-80DF-6A9FEBF1169E}" name="Product" dataDxfId="22"/>
    <tableColumn id="3" xr3:uid="{12330CE6-E0B7-4AB7-B0E1-5BA25AC716F9}" name="City" dataDxfId="21"/>
    <tableColumn id="4" xr3:uid="{6EF2DD2D-9A2C-4D98-8D3C-87A9CE6A3BBE}" name="State" dataDxfId="20"/>
    <tableColumn id="5" xr3:uid="{43DCFEF0-D44C-43A7-8F77-57130BFDA86E}" name="Jan Sales" dataDxfId="19"/>
    <tableColumn id="6" xr3:uid="{CB018AF6-A675-4B3E-B63F-43C531B5A2CE}" name="Feb Sales" dataDxfId="18"/>
    <tableColumn id="7" xr3:uid="{8A6BAA97-04BD-4905-9DCB-FA768AF6C762}" name="Mar Sales" dataDxfId="17"/>
    <tableColumn id="8" xr3:uid="{7EBF42F2-0F47-4B15-BAF5-1CED3A890692}" name="Total Sales" dataDxfId="16"/>
  </tableColumns>
  <tableStyleInfo name="TableStyleMedium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0007A8-6245-4032-A8D4-06DDD3A86C80}" name="Table2" displayName="Table2" ref="A1:N101" totalsRowShown="0" headerRowDxfId="15" dataDxfId="3">
  <autoFilter ref="A1:N101" xr:uid="{6A0007A8-6245-4032-A8D4-06DDD3A86C80}"/>
  <tableColumns count="14">
    <tableColumn id="1" xr3:uid="{5A0F6323-D291-4D91-848A-D1D1ABF7BADC}" name="Sr.No" dataDxfId="14"/>
    <tableColumn id="2" xr3:uid="{E15E0D9A-63A2-41F1-9575-68901B7DD39C}" name="Product" dataDxfId="13"/>
    <tableColumn id="3" xr3:uid="{722AA326-5B71-4788-81EB-71824B5281B1}" name="Category" dataDxfId="12"/>
    <tableColumn id="4" xr3:uid="{00AF91E3-9BA1-4FD0-865C-E382DCF05464}" name="City" dataDxfId="11"/>
    <tableColumn id="5" xr3:uid="{AC632B8C-D5D6-45FA-8037-A61D33ED64F9}" name="State" dataDxfId="10"/>
    <tableColumn id="6" xr3:uid="{D155833E-3803-4955-AD14-202C01530CC8}" name="Opening Stock" dataDxfId="9"/>
    <tableColumn id="7" xr3:uid="{3248E8B5-DB3F-445C-B2E8-4E4141ED0556}" name="Purchases" dataDxfId="8"/>
    <tableColumn id="8" xr3:uid="{4EA8815D-3F93-45FA-8413-28A8BB8C1367}" name="Sales" dataDxfId="7"/>
    <tableColumn id="9" xr3:uid="{C122D370-4AA9-4632-8650-0AAD631659B8}" name="Unit Cost" dataDxfId="6"/>
    <tableColumn id="10" xr3:uid="{4CE4025C-BD9D-42B3-95B8-6C46F9020958}" name="Reorder Level" dataDxfId="5"/>
    <tableColumn id="11" xr3:uid="{46E403DE-0B53-43BA-B5F1-00DADBA9539F}" name="Lead Time" dataDxfId="4"/>
    <tableColumn id="12" xr3:uid="{FD01819F-36EB-45BA-8CF0-1E930FD96129}" name="Closing Stock" dataDxfId="2">
      <calculatedColumnFormula>F2+G2-H2</calculatedColumnFormula>
    </tableColumn>
    <tableColumn id="13" xr3:uid="{8BD490AA-9169-4D93-8840-68C68F263414}" name="Unit Price per" dataDxfId="1">
      <calculatedColumnFormula>I2/L2</calculatedColumnFormula>
    </tableColumn>
    <tableColumn id="14" xr3:uid="{9C20206A-AB22-40F9-AA56-7700DC11B140}" name="Stock Status" dataDxfId="0">
      <calculatedColumnFormula>IF(L2&lt;=J2, "Reorder", "Sufficient")</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E8A13-EC27-4511-A5C5-0B547CB80EB6}">
  <dimension ref="A1:N101"/>
  <sheetViews>
    <sheetView workbookViewId="0">
      <pane ySplit="1" topLeftCell="A2" activePane="bottomLeft" state="frozen"/>
      <selection pane="bottomLeft" activeCell="F11" sqref="F11"/>
    </sheetView>
  </sheetViews>
  <sheetFormatPr defaultRowHeight="14.5" x14ac:dyDescent="0.35"/>
  <cols>
    <col min="1" max="1" width="5.36328125" bestFit="1" customWidth="1"/>
    <col min="2" max="2" width="12" bestFit="1" customWidth="1"/>
    <col min="3" max="3" width="13.7265625" bestFit="1" customWidth="1"/>
    <col min="4" max="4" width="15.90625" bestFit="1" customWidth="1"/>
    <col min="5" max="5" width="8.1796875" bestFit="1" customWidth="1"/>
    <col min="6" max="6" width="8.453125" bestFit="1" customWidth="1"/>
    <col min="7" max="7" width="8.90625" bestFit="1" customWidth="1"/>
    <col min="8" max="8" width="9.7265625" bestFit="1" customWidth="1"/>
    <col min="10" max="10" width="12.90625" bestFit="1" customWidth="1"/>
    <col min="12" max="12" width="16.6328125" customWidth="1"/>
  </cols>
  <sheetData>
    <row r="1" spans="1:14" x14ac:dyDescent="0.35">
      <c r="A1" s="1" t="s">
        <v>0</v>
      </c>
      <c r="B1" s="2" t="s">
        <v>1</v>
      </c>
      <c r="C1" s="2" t="s">
        <v>2</v>
      </c>
      <c r="D1" s="2" t="s">
        <v>3</v>
      </c>
      <c r="E1" s="1" t="s">
        <v>4</v>
      </c>
      <c r="F1" s="1" t="s">
        <v>5</v>
      </c>
      <c r="G1" s="1" t="s">
        <v>6</v>
      </c>
      <c r="H1" s="1" t="s">
        <v>7</v>
      </c>
    </row>
    <row r="2" spans="1:14" x14ac:dyDescent="0.35">
      <c r="A2" s="3">
        <v>1</v>
      </c>
      <c r="B2" s="3" t="s">
        <v>8</v>
      </c>
      <c r="C2" s="3" t="s">
        <v>9</v>
      </c>
      <c r="D2" s="3" t="s">
        <v>10</v>
      </c>
      <c r="E2" s="3">
        <v>125000</v>
      </c>
      <c r="F2" s="3">
        <v>138000</v>
      </c>
      <c r="G2" s="3">
        <v>145000</v>
      </c>
      <c r="H2" s="3">
        <v>408000</v>
      </c>
      <c r="K2" t="s">
        <v>124</v>
      </c>
      <c r="L2" t="s">
        <v>34</v>
      </c>
    </row>
    <row r="3" spans="1:14" x14ac:dyDescent="0.35">
      <c r="A3" s="3">
        <v>2</v>
      </c>
      <c r="B3" s="3" t="s">
        <v>11</v>
      </c>
      <c r="C3" s="3" t="s">
        <v>12</v>
      </c>
      <c r="D3" s="3" t="s">
        <v>10</v>
      </c>
      <c r="E3" s="3">
        <v>98000</v>
      </c>
      <c r="F3" s="3">
        <v>112000</v>
      </c>
      <c r="G3" s="3">
        <v>105000</v>
      </c>
      <c r="H3" s="3">
        <v>315000</v>
      </c>
      <c r="J3" t="s">
        <v>122</v>
      </c>
      <c r="K3">
        <f>SUM(E2:E101)</f>
        <v>6255000</v>
      </c>
      <c r="L3">
        <f>SUMIF(D2:D101,L2,H2:H101)</f>
        <v>684000</v>
      </c>
      <c r="N3">
        <f>SUMIF(D2:D101,L2,H2:H101)</f>
        <v>684000</v>
      </c>
    </row>
    <row r="4" spans="1:14" x14ac:dyDescent="0.35">
      <c r="A4" s="3">
        <v>3</v>
      </c>
      <c r="B4" s="3" t="s">
        <v>13</v>
      </c>
      <c r="C4" s="3" t="s">
        <v>14</v>
      </c>
      <c r="D4" s="3" t="s">
        <v>14</v>
      </c>
      <c r="E4" s="3">
        <v>75000</v>
      </c>
      <c r="F4" s="3">
        <v>82000</v>
      </c>
      <c r="G4" s="3">
        <v>91000</v>
      </c>
      <c r="H4" s="3">
        <v>248000</v>
      </c>
      <c r="J4" t="s">
        <v>123</v>
      </c>
      <c r="K4">
        <f>SUM(F2:F101)</f>
        <v>6835000</v>
      </c>
    </row>
    <row r="5" spans="1:14" x14ac:dyDescent="0.35">
      <c r="A5" s="3">
        <v>4</v>
      </c>
      <c r="B5" s="3" t="s">
        <v>15</v>
      </c>
      <c r="C5" s="3" t="s">
        <v>16</v>
      </c>
      <c r="D5" s="3" t="s">
        <v>17</v>
      </c>
      <c r="E5" s="3">
        <v>68000</v>
      </c>
      <c r="F5" s="3">
        <v>72000</v>
      </c>
      <c r="G5" s="3">
        <v>79000</v>
      </c>
      <c r="H5" s="3">
        <v>219000</v>
      </c>
    </row>
    <row r="6" spans="1:14" x14ac:dyDescent="0.35">
      <c r="A6" s="3">
        <v>5</v>
      </c>
      <c r="B6" s="3" t="s">
        <v>18</v>
      </c>
      <c r="C6" s="3" t="s">
        <v>19</v>
      </c>
      <c r="D6" s="3" t="s">
        <v>20</v>
      </c>
      <c r="E6" s="3">
        <v>32000</v>
      </c>
      <c r="F6" s="3">
        <v>35000</v>
      </c>
      <c r="G6" s="3">
        <v>38000</v>
      </c>
      <c r="H6" s="3">
        <v>105000</v>
      </c>
    </row>
    <row r="7" spans="1:14" x14ac:dyDescent="0.35">
      <c r="A7" s="3">
        <v>6</v>
      </c>
      <c r="B7" s="3" t="s">
        <v>21</v>
      </c>
      <c r="C7" s="3" t="s">
        <v>22</v>
      </c>
      <c r="D7" s="3" t="s">
        <v>20</v>
      </c>
      <c r="E7" s="3">
        <v>28000</v>
      </c>
      <c r="F7" s="3">
        <v>31000</v>
      </c>
      <c r="G7" s="3">
        <v>33000</v>
      </c>
      <c r="H7" s="3">
        <v>92000</v>
      </c>
    </row>
    <row r="8" spans="1:14" x14ac:dyDescent="0.35">
      <c r="A8" s="3">
        <v>7</v>
      </c>
      <c r="B8" s="3" t="s">
        <v>23</v>
      </c>
      <c r="C8" s="3" t="s">
        <v>24</v>
      </c>
      <c r="D8" s="3" t="s">
        <v>25</v>
      </c>
      <c r="E8" s="3">
        <v>55000</v>
      </c>
      <c r="F8" s="3">
        <v>62000</v>
      </c>
      <c r="G8" s="3">
        <v>58000</v>
      </c>
      <c r="H8" s="3">
        <v>175000</v>
      </c>
    </row>
    <row r="9" spans="1:14" x14ac:dyDescent="0.35">
      <c r="A9" s="3">
        <v>8</v>
      </c>
      <c r="B9" s="3" t="s">
        <v>26</v>
      </c>
      <c r="C9" s="3" t="s">
        <v>27</v>
      </c>
      <c r="D9" s="3" t="s">
        <v>25</v>
      </c>
      <c r="E9" s="3">
        <v>42000</v>
      </c>
      <c r="F9" s="3">
        <v>45000</v>
      </c>
      <c r="G9" s="3">
        <v>49000</v>
      </c>
      <c r="H9" s="3">
        <v>136000</v>
      </c>
    </row>
    <row r="10" spans="1:14" x14ac:dyDescent="0.35">
      <c r="A10" s="3">
        <v>9</v>
      </c>
      <c r="B10" s="3" t="s">
        <v>8</v>
      </c>
      <c r="C10" s="3" t="s">
        <v>28</v>
      </c>
      <c r="D10" s="3" t="s">
        <v>10</v>
      </c>
      <c r="E10" s="3">
        <v>115000</v>
      </c>
      <c r="F10" s="3">
        <v>121000</v>
      </c>
      <c r="G10" s="3">
        <v>135000</v>
      </c>
      <c r="H10" s="3">
        <v>371000</v>
      </c>
    </row>
    <row r="11" spans="1:14" x14ac:dyDescent="0.35">
      <c r="A11" s="3">
        <v>10</v>
      </c>
      <c r="B11" s="3" t="s">
        <v>11</v>
      </c>
      <c r="C11" s="3" t="s">
        <v>29</v>
      </c>
      <c r="D11" s="3" t="s">
        <v>10</v>
      </c>
      <c r="E11" s="3">
        <v>105000</v>
      </c>
      <c r="F11" s="3">
        <v>118000</v>
      </c>
      <c r="G11" s="3">
        <v>125000</v>
      </c>
      <c r="H11" s="3">
        <v>348000</v>
      </c>
    </row>
    <row r="12" spans="1:14" x14ac:dyDescent="0.35">
      <c r="A12" s="3">
        <v>11</v>
      </c>
      <c r="B12" s="3" t="s">
        <v>13</v>
      </c>
      <c r="C12" s="3" t="s">
        <v>30</v>
      </c>
      <c r="D12" s="3" t="s">
        <v>31</v>
      </c>
      <c r="E12" s="3">
        <v>72000</v>
      </c>
      <c r="F12" s="3">
        <v>78000</v>
      </c>
      <c r="G12" s="3">
        <v>85000</v>
      </c>
      <c r="H12" s="3">
        <v>235000</v>
      </c>
    </row>
    <row r="13" spans="1:14" x14ac:dyDescent="0.35">
      <c r="A13" s="3">
        <v>12</v>
      </c>
      <c r="B13" s="3" t="s">
        <v>15</v>
      </c>
      <c r="C13" s="3" t="s">
        <v>32</v>
      </c>
      <c r="D13" s="3" t="s">
        <v>32</v>
      </c>
      <c r="E13" s="3">
        <v>65000</v>
      </c>
      <c r="F13" s="3">
        <v>69000</v>
      </c>
      <c r="G13" s="3">
        <v>75000</v>
      </c>
      <c r="H13" s="3">
        <v>209000</v>
      </c>
    </row>
    <row r="14" spans="1:14" x14ac:dyDescent="0.35">
      <c r="A14" s="3">
        <v>13</v>
      </c>
      <c r="B14" s="3" t="s">
        <v>18</v>
      </c>
      <c r="C14" s="3" t="s">
        <v>33</v>
      </c>
      <c r="D14" s="3" t="s">
        <v>34</v>
      </c>
      <c r="E14" s="3">
        <v>30000</v>
      </c>
      <c r="F14" s="3">
        <v>34000</v>
      </c>
      <c r="G14" s="3">
        <v>37000</v>
      </c>
      <c r="H14" s="3">
        <v>101000</v>
      </c>
    </row>
    <row r="15" spans="1:14" x14ac:dyDescent="0.35">
      <c r="A15" s="3">
        <v>14</v>
      </c>
      <c r="B15" s="3" t="s">
        <v>21</v>
      </c>
      <c r="C15" s="3" t="s">
        <v>35</v>
      </c>
      <c r="D15" s="3" t="s">
        <v>34</v>
      </c>
      <c r="E15" s="3">
        <v>27000</v>
      </c>
      <c r="F15" s="3">
        <v>29000</v>
      </c>
      <c r="G15" s="3">
        <v>32000</v>
      </c>
      <c r="H15" s="3">
        <v>88000</v>
      </c>
    </row>
    <row r="16" spans="1:14" x14ac:dyDescent="0.35">
      <c r="A16" s="3">
        <v>15</v>
      </c>
      <c r="B16" s="3" t="s">
        <v>23</v>
      </c>
      <c r="C16" s="3" t="s">
        <v>36</v>
      </c>
      <c r="D16" s="3" t="s">
        <v>20</v>
      </c>
      <c r="E16" s="3">
        <v>51000</v>
      </c>
      <c r="F16" s="3">
        <v>57000</v>
      </c>
      <c r="G16" s="3">
        <v>61000</v>
      </c>
      <c r="H16" s="3">
        <v>169000</v>
      </c>
    </row>
    <row r="17" spans="1:8" x14ac:dyDescent="0.35">
      <c r="A17" s="3">
        <v>16</v>
      </c>
      <c r="B17" s="3" t="s">
        <v>26</v>
      </c>
      <c r="C17" s="3" t="s">
        <v>37</v>
      </c>
      <c r="D17" s="3" t="s">
        <v>20</v>
      </c>
      <c r="E17" s="3">
        <v>39000</v>
      </c>
      <c r="F17" s="3">
        <v>43000</v>
      </c>
      <c r="G17" s="3">
        <v>47000</v>
      </c>
      <c r="H17" s="3">
        <v>129000</v>
      </c>
    </row>
    <row r="18" spans="1:8" x14ac:dyDescent="0.35">
      <c r="A18" s="3">
        <v>17</v>
      </c>
      <c r="B18" s="3" t="s">
        <v>8</v>
      </c>
      <c r="C18" s="3" t="s">
        <v>38</v>
      </c>
      <c r="D18" s="3" t="s">
        <v>10</v>
      </c>
      <c r="E18" s="3">
        <v>118000</v>
      </c>
      <c r="F18" s="3">
        <v>126000</v>
      </c>
      <c r="G18" s="3">
        <v>139000</v>
      </c>
      <c r="H18" s="3">
        <v>383000</v>
      </c>
    </row>
    <row r="19" spans="1:8" x14ac:dyDescent="0.35">
      <c r="A19" s="3">
        <v>18</v>
      </c>
      <c r="B19" s="3" t="s">
        <v>11</v>
      </c>
      <c r="C19" s="3" t="s">
        <v>39</v>
      </c>
      <c r="D19" s="3" t="s">
        <v>10</v>
      </c>
      <c r="E19" s="3">
        <v>92000</v>
      </c>
      <c r="F19" s="3">
        <v>101000</v>
      </c>
      <c r="G19" s="3">
        <v>110000</v>
      </c>
      <c r="H19" s="3">
        <v>303000</v>
      </c>
    </row>
    <row r="20" spans="1:8" x14ac:dyDescent="0.35">
      <c r="A20" s="3">
        <v>19</v>
      </c>
      <c r="B20" s="3" t="s">
        <v>13</v>
      </c>
      <c r="C20" s="3" t="s">
        <v>40</v>
      </c>
      <c r="D20" s="3" t="s">
        <v>41</v>
      </c>
      <c r="E20" s="3">
        <v>69000</v>
      </c>
      <c r="F20" s="3">
        <v>74000</v>
      </c>
      <c r="G20" s="3">
        <v>80000</v>
      </c>
      <c r="H20" s="3">
        <v>223000</v>
      </c>
    </row>
    <row r="21" spans="1:8" x14ac:dyDescent="0.35">
      <c r="A21" s="3">
        <v>20</v>
      </c>
      <c r="B21" s="3" t="s">
        <v>15</v>
      </c>
      <c r="C21" s="3" t="s">
        <v>42</v>
      </c>
      <c r="D21" s="3" t="s">
        <v>41</v>
      </c>
      <c r="E21" s="3">
        <v>62000</v>
      </c>
      <c r="F21" s="3">
        <v>67000</v>
      </c>
      <c r="G21" s="3">
        <v>71000</v>
      </c>
      <c r="H21" s="3">
        <v>200000</v>
      </c>
    </row>
    <row r="22" spans="1:8" x14ac:dyDescent="0.35">
      <c r="A22" s="3">
        <v>21</v>
      </c>
      <c r="B22" s="3" t="s">
        <v>18</v>
      </c>
      <c r="C22" s="3" t="s">
        <v>43</v>
      </c>
      <c r="D22" s="3" t="s">
        <v>44</v>
      </c>
      <c r="E22" s="3">
        <v>29000</v>
      </c>
      <c r="F22" s="3">
        <v>33000</v>
      </c>
      <c r="G22" s="3">
        <v>35000</v>
      </c>
      <c r="H22" s="3">
        <v>97000</v>
      </c>
    </row>
    <row r="23" spans="1:8" x14ac:dyDescent="0.35">
      <c r="A23" s="3">
        <v>22</v>
      </c>
      <c r="B23" s="3" t="s">
        <v>21</v>
      </c>
      <c r="C23" s="3" t="s">
        <v>45</v>
      </c>
      <c r="D23" s="3" t="s">
        <v>44</v>
      </c>
      <c r="E23" s="3">
        <v>25000</v>
      </c>
      <c r="F23" s="3">
        <v>28000</v>
      </c>
      <c r="G23" s="3">
        <v>30000</v>
      </c>
      <c r="H23" s="3">
        <v>83000</v>
      </c>
    </row>
    <row r="24" spans="1:8" x14ac:dyDescent="0.35">
      <c r="A24" s="3">
        <v>23</v>
      </c>
      <c r="B24" s="3" t="s">
        <v>23</v>
      </c>
      <c r="C24" s="3" t="s">
        <v>46</v>
      </c>
      <c r="D24" s="3" t="s">
        <v>47</v>
      </c>
      <c r="E24" s="3">
        <v>48000</v>
      </c>
      <c r="F24" s="3">
        <v>53000</v>
      </c>
      <c r="G24" s="3">
        <v>57000</v>
      </c>
      <c r="H24" s="3">
        <v>158000</v>
      </c>
    </row>
    <row r="25" spans="1:8" x14ac:dyDescent="0.35">
      <c r="A25" s="3">
        <v>24</v>
      </c>
      <c r="B25" s="3" t="s">
        <v>26</v>
      </c>
      <c r="C25" s="3" t="s">
        <v>48</v>
      </c>
      <c r="D25" s="3" t="s">
        <v>47</v>
      </c>
      <c r="E25" s="3">
        <v>36000</v>
      </c>
      <c r="F25" s="3">
        <v>40000</v>
      </c>
      <c r="G25" s="3">
        <v>44000</v>
      </c>
      <c r="H25" s="3">
        <v>120000</v>
      </c>
    </row>
    <row r="26" spans="1:8" x14ac:dyDescent="0.35">
      <c r="A26" s="3">
        <v>25</v>
      </c>
      <c r="B26" s="3" t="s">
        <v>8</v>
      </c>
      <c r="C26" s="3" t="s">
        <v>49</v>
      </c>
      <c r="D26" s="3" t="s">
        <v>50</v>
      </c>
      <c r="E26" s="3">
        <v>132000</v>
      </c>
      <c r="F26" s="3">
        <v>140000</v>
      </c>
      <c r="G26" s="3">
        <v>152000</v>
      </c>
      <c r="H26" s="3">
        <v>424000</v>
      </c>
    </row>
    <row r="27" spans="1:8" x14ac:dyDescent="0.35">
      <c r="A27" s="3">
        <v>26</v>
      </c>
      <c r="B27" s="3" t="s">
        <v>11</v>
      </c>
      <c r="C27" s="3" t="s">
        <v>51</v>
      </c>
      <c r="D27" s="3" t="s">
        <v>50</v>
      </c>
      <c r="E27" s="3">
        <v>87000</v>
      </c>
      <c r="F27" s="3">
        <v>95000</v>
      </c>
      <c r="G27" s="3">
        <v>102000</v>
      </c>
      <c r="H27" s="3">
        <v>284000</v>
      </c>
    </row>
    <row r="28" spans="1:8" x14ac:dyDescent="0.35">
      <c r="A28" s="3">
        <v>27</v>
      </c>
      <c r="B28" s="3" t="s">
        <v>13</v>
      </c>
      <c r="C28" s="3" t="s">
        <v>52</v>
      </c>
      <c r="D28" s="3" t="s">
        <v>53</v>
      </c>
      <c r="E28" s="3">
        <v>71000</v>
      </c>
      <c r="F28" s="3">
        <v>76000</v>
      </c>
      <c r="G28" s="3">
        <v>83000</v>
      </c>
      <c r="H28" s="3">
        <v>230000</v>
      </c>
    </row>
    <row r="29" spans="1:8" x14ac:dyDescent="0.35">
      <c r="A29" s="3">
        <v>28</v>
      </c>
      <c r="B29" s="3" t="s">
        <v>15</v>
      </c>
      <c r="C29" s="3" t="s">
        <v>54</v>
      </c>
      <c r="D29" s="3" t="s">
        <v>53</v>
      </c>
      <c r="E29" s="3">
        <v>59000</v>
      </c>
      <c r="F29" s="3">
        <v>64000</v>
      </c>
      <c r="G29" s="3">
        <v>69000</v>
      </c>
      <c r="H29" s="3">
        <v>192000</v>
      </c>
    </row>
    <row r="30" spans="1:8" x14ac:dyDescent="0.35">
      <c r="A30" s="3">
        <v>29</v>
      </c>
      <c r="B30" s="3" t="s">
        <v>18</v>
      </c>
      <c r="C30" s="3" t="s">
        <v>55</v>
      </c>
      <c r="D30" s="3" t="s">
        <v>56</v>
      </c>
      <c r="E30" s="3">
        <v>31000</v>
      </c>
      <c r="F30" s="3">
        <v>35000</v>
      </c>
      <c r="G30" s="3">
        <v>39000</v>
      </c>
      <c r="H30" s="3">
        <v>105000</v>
      </c>
    </row>
    <row r="31" spans="1:8" x14ac:dyDescent="0.35">
      <c r="A31" s="3">
        <v>30</v>
      </c>
      <c r="B31" s="3" t="s">
        <v>21</v>
      </c>
      <c r="C31" s="3" t="s">
        <v>57</v>
      </c>
      <c r="D31" s="3" t="s">
        <v>56</v>
      </c>
      <c r="E31" s="3">
        <v>26000</v>
      </c>
      <c r="F31" s="3">
        <v>30000</v>
      </c>
      <c r="G31" s="3">
        <v>32000</v>
      </c>
      <c r="H31" s="3">
        <v>88000</v>
      </c>
    </row>
    <row r="32" spans="1:8" x14ac:dyDescent="0.35">
      <c r="A32" s="3">
        <v>31</v>
      </c>
      <c r="B32" s="3" t="s">
        <v>23</v>
      </c>
      <c r="C32" s="3" t="s">
        <v>58</v>
      </c>
      <c r="D32" s="3" t="s">
        <v>59</v>
      </c>
      <c r="E32" s="3">
        <v>58000</v>
      </c>
      <c r="F32" s="3">
        <v>63000</v>
      </c>
      <c r="G32" s="3">
        <v>68000</v>
      </c>
      <c r="H32" s="3">
        <v>189000</v>
      </c>
    </row>
    <row r="33" spans="1:8" x14ac:dyDescent="0.35">
      <c r="A33" s="3">
        <v>32</v>
      </c>
      <c r="B33" s="3" t="s">
        <v>26</v>
      </c>
      <c r="C33" s="3" t="s">
        <v>60</v>
      </c>
      <c r="D33" s="3" t="s">
        <v>59</v>
      </c>
      <c r="E33" s="3">
        <v>41000</v>
      </c>
      <c r="F33" s="3">
        <v>46000</v>
      </c>
      <c r="G33" s="3">
        <v>50000</v>
      </c>
      <c r="H33" s="3">
        <v>137000</v>
      </c>
    </row>
    <row r="34" spans="1:8" x14ac:dyDescent="0.35">
      <c r="A34" s="3">
        <v>33</v>
      </c>
      <c r="B34" s="3" t="s">
        <v>8</v>
      </c>
      <c r="C34" s="3" t="s">
        <v>61</v>
      </c>
      <c r="D34" s="3" t="s">
        <v>62</v>
      </c>
      <c r="E34" s="3">
        <v>127000</v>
      </c>
      <c r="F34" s="3">
        <v>135000</v>
      </c>
      <c r="G34" s="3">
        <v>148000</v>
      </c>
      <c r="H34" s="3">
        <v>410000</v>
      </c>
    </row>
    <row r="35" spans="1:8" x14ac:dyDescent="0.35">
      <c r="A35" s="3">
        <v>34</v>
      </c>
      <c r="B35" s="3" t="s">
        <v>11</v>
      </c>
      <c r="C35" s="3" t="s">
        <v>63</v>
      </c>
      <c r="D35" s="3" t="s">
        <v>62</v>
      </c>
      <c r="E35" s="3">
        <v>83000</v>
      </c>
      <c r="F35" s="3">
        <v>91000</v>
      </c>
      <c r="G35" s="3">
        <v>98000</v>
      </c>
      <c r="H35" s="3">
        <v>272000</v>
      </c>
    </row>
    <row r="36" spans="1:8" x14ac:dyDescent="0.35">
      <c r="A36" s="3">
        <v>35</v>
      </c>
      <c r="B36" s="3" t="s">
        <v>13</v>
      </c>
      <c r="C36" s="3" t="s">
        <v>64</v>
      </c>
      <c r="D36" s="3" t="s">
        <v>65</v>
      </c>
      <c r="E36" s="3">
        <v>76000</v>
      </c>
      <c r="F36" s="3">
        <v>84000</v>
      </c>
      <c r="G36" s="3">
        <v>89000</v>
      </c>
      <c r="H36" s="3">
        <v>249000</v>
      </c>
    </row>
    <row r="37" spans="1:8" x14ac:dyDescent="0.35">
      <c r="A37" s="3">
        <v>36</v>
      </c>
      <c r="B37" s="3" t="s">
        <v>15</v>
      </c>
      <c r="C37" s="3" t="s">
        <v>66</v>
      </c>
      <c r="D37" s="3" t="s">
        <v>65</v>
      </c>
      <c r="E37" s="3">
        <v>61000</v>
      </c>
      <c r="F37" s="3">
        <v>68000</v>
      </c>
      <c r="G37" s="3">
        <v>73000</v>
      </c>
      <c r="H37" s="3">
        <v>202000</v>
      </c>
    </row>
    <row r="38" spans="1:8" x14ac:dyDescent="0.35">
      <c r="A38" s="3">
        <v>37</v>
      </c>
      <c r="B38" s="3" t="s">
        <v>18</v>
      </c>
      <c r="C38" s="3" t="s">
        <v>67</v>
      </c>
      <c r="D38" s="3" t="s">
        <v>68</v>
      </c>
      <c r="E38" s="3">
        <v>33000</v>
      </c>
      <c r="F38" s="3">
        <v>37000</v>
      </c>
      <c r="G38" s="3">
        <v>40000</v>
      </c>
      <c r="H38" s="3">
        <v>110000</v>
      </c>
    </row>
    <row r="39" spans="1:8" x14ac:dyDescent="0.35">
      <c r="A39" s="3">
        <v>38</v>
      </c>
      <c r="B39" s="3" t="s">
        <v>21</v>
      </c>
      <c r="C39" s="3" t="s">
        <v>69</v>
      </c>
      <c r="D39" s="3" t="s">
        <v>68</v>
      </c>
      <c r="E39" s="3">
        <v>27000</v>
      </c>
      <c r="F39" s="3">
        <v>30000</v>
      </c>
      <c r="G39" s="3">
        <v>34000</v>
      </c>
      <c r="H39" s="3">
        <v>91000</v>
      </c>
    </row>
    <row r="40" spans="1:8" x14ac:dyDescent="0.35">
      <c r="A40" s="3">
        <v>39</v>
      </c>
      <c r="B40" s="3" t="s">
        <v>23</v>
      </c>
      <c r="C40" s="3" t="s">
        <v>70</v>
      </c>
      <c r="D40" s="3" t="s">
        <v>71</v>
      </c>
      <c r="E40" s="3">
        <v>52000</v>
      </c>
      <c r="F40" s="3">
        <v>58000</v>
      </c>
      <c r="G40" s="3">
        <v>63000</v>
      </c>
      <c r="H40" s="3">
        <v>173000</v>
      </c>
    </row>
    <row r="41" spans="1:8" x14ac:dyDescent="0.35">
      <c r="A41" s="3">
        <v>40</v>
      </c>
      <c r="B41" s="3" t="s">
        <v>26</v>
      </c>
      <c r="C41" s="3" t="s">
        <v>72</v>
      </c>
      <c r="D41" s="3" t="s">
        <v>71</v>
      </c>
      <c r="E41" s="3">
        <v>38000</v>
      </c>
      <c r="F41" s="3">
        <v>42000</v>
      </c>
      <c r="G41" s="3">
        <v>46000</v>
      </c>
      <c r="H41" s="3">
        <v>126000</v>
      </c>
    </row>
    <row r="42" spans="1:8" x14ac:dyDescent="0.35">
      <c r="A42" s="3">
        <v>41</v>
      </c>
      <c r="B42" s="3" t="s">
        <v>8</v>
      </c>
      <c r="C42" s="3" t="s">
        <v>16</v>
      </c>
      <c r="D42" s="3" t="s">
        <v>17</v>
      </c>
      <c r="E42" s="3">
        <v>121000</v>
      </c>
      <c r="F42" s="3">
        <v>130000</v>
      </c>
      <c r="G42" s="3">
        <v>142000</v>
      </c>
      <c r="H42" s="3">
        <v>393000</v>
      </c>
    </row>
    <row r="43" spans="1:8" x14ac:dyDescent="0.35">
      <c r="A43" s="3">
        <v>42</v>
      </c>
      <c r="B43" s="3" t="s">
        <v>11</v>
      </c>
      <c r="C43" s="3" t="s">
        <v>73</v>
      </c>
      <c r="D43" s="3" t="s">
        <v>17</v>
      </c>
      <c r="E43" s="3">
        <v>89000</v>
      </c>
      <c r="F43" s="3">
        <v>97000</v>
      </c>
      <c r="G43" s="3">
        <v>106000</v>
      </c>
      <c r="H43" s="3">
        <v>292000</v>
      </c>
    </row>
    <row r="44" spans="1:8" x14ac:dyDescent="0.35">
      <c r="A44" s="3">
        <v>43</v>
      </c>
      <c r="B44" s="3" t="s">
        <v>13</v>
      </c>
      <c r="C44" s="3" t="s">
        <v>74</v>
      </c>
      <c r="D44" s="3" t="s">
        <v>17</v>
      </c>
      <c r="E44" s="3">
        <v>67000</v>
      </c>
      <c r="F44" s="3">
        <v>73000</v>
      </c>
      <c r="G44" s="3">
        <v>78000</v>
      </c>
      <c r="H44" s="3">
        <v>218000</v>
      </c>
    </row>
    <row r="45" spans="1:8" x14ac:dyDescent="0.35">
      <c r="A45" s="3">
        <v>44</v>
      </c>
      <c r="B45" s="3" t="s">
        <v>15</v>
      </c>
      <c r="C45" s="3" t="s">
        <v>75</v>
      </c>
      <c r="D45" s="3" t="s">
        <v>17</v>
      </c>
      <c r="E45" s="3">
        <v>58000</v>
      </c>
      <c r="F45" s="3">
        <v>63000</v>
      </c>
      <c r="G45" s="3">
        <v>68000</v>
      </c>
      <c r="H45" s="3">
        <v>189000</v>
      </c>
    </row>
    <row r="46" spans="1:8" x14ac:dyDescent="0.35">
      <c r="A46" s="3">
        <v>45</v>
      </c>
      <c r="B46" s="3" t="s">
        <v>18</v>
      </c>
      <c r="C46" s="3" t="s">
        <v>76</v>
      </c>
      <c r="D46" s="3" t="s">
        <v>77</v>
      </c>
      <c r="E46" s="3">
        <v>30000</v>
      </c>
      <c r="F46" s="3">
        <v>34000</v>
      </c>
      <c r="G46" s="3">
        <v>38000</v>
      </c>
      <c r="H46" s="3">
        <v>102000</v>
      </c>
    </row>
    <row r="47" spans="1:8" x14ac:dyDescent="0.35">
      <c r="A47" s="3">
        <v>46</v>
      </c>
      <c r="B47" s="3" t="s">
        <v>21</v>
      </c>
      <c r="C47" s="3" t="s">
        <v>78</v>
      </c>
      <c r="D47" s="3" t="s">
        <v>77</v>
      </c>
      <c r="E47" s="3">
        <v>24000</v>
      </c>
      <c r="F47" s="3">
        <v>27000</v>
      </c>
      <c r="G47" s="3">
        <v>31000</v>
      </c>
      <c r="H47" s="3">
        <v>82000</v>
      </c>
    </row>
    <row r="48" spans="1:8" x14ac:dyDescent="0.35">
      <c r="A48" s="3">
        <v>47</v>
      </c>
      <c r="B48" s="3" t="s">
        <v>23</v>
      </c>
      <c r="C48" s="3" t="s">
        <v>79</v>
      </c>
      <c r="D48" s="3" t="s">
        <v>80</v>
      </c>
      <c r="E48" s="3">
        <v>47000</v>
      </c>
      <c r="F48" s="3">
        <v>52000</v>
      </c>
      <c r="G48" s="3">
        <v>56000</v>
      </c>
      <c r="H48" s="3">
        <v>155000</v>
      </c>
    </row>
    <row r="49" spans="1:8" x14ac:dyDescent="0.35">
      <c r="A49" s="3">
        <v>48</v>
      </c>
      <c r="B49" s="3" t="s">
        <v>26</v>
      </c>
      <c r="C49" s="3" t="s">
        <v>81</v>
      </c>
      <c r="D49" s="3" t="s">
        <v>80</v>
      </c>
      <c r="E49" s="3">
        <v>35000</v>
      </c>
      <c r="F49" s="3">
        <v>39000</v>
      </c>
      <c r="G49" s="3">
        <v>43000</v>
      </c>
      <c r="H49" s="3">
        <v>117000</v>
      </c>
    </row>
    <row r="50" spans="1:8" x14ac:dyDescent="0.35">
      <c r="A50" s="3">
        <v>49</v>
      </c>
      <c r="B50" s="3" t="s">
        <v>8</v>
      </c>
      <c r="C50" s="3" t="s">
        <v>82</v>
      </c>
      <c r="D50" s="3" t="s">
        <v>83</v>
      </c>
      <c r="E50" s="3">
        <v>108000</v>
      </c>
      <c r="F50" s="3">
        <v>116000</v>
      </c>
      <c r="G50" s="3">
        <v>129000</v>
      </c>
      <c r="H50" s="3">
        <v>353000</v>
      </c>
    </row>
    <row r="51" spans="1:8" x14ac:dyDescent="0.35">
      <c r="A51" s="3">
        <v>50</v>
      </c>
      <c r="B51" s="3" t="s">
        <v>11</v>
      </c>
      <c r="C51" s="3" t="s">
        <v>84</v>
      </c>
      <c r="D51" s="3" t="s">
        <v>83</v>
      </c>
      <c r="E51" s="3">
        <v>85000</v>
      </c>
      <c r="F51" s="3">
        <v>93000</v>
      </c>
      <c r="G51" s="3">
        <v>101000</v>
      </c>
      <c r="H51" s="3">
        <v>279000</v>
      </c>
    </row>
    <row r="52" spans="1:8" x14ac:dyDescent="0.35">
      <c r="A52" s="3">
        <v>51</v>
      </c>
      <c r="B52" s="3" t="s">
        <v>13</v>
      </c>
      <c r="C52" s="3" t="s">
        <v>85</v>
      </c>
      <c r="D52" s="3" t="s">
        <v>86</v>
      </c>
      <c r="E52" s="3">
        <v>65000</v>
      </c>
      <c r="F52" s="3">
        <v>71000</v>
      </c>
      <c r="G52" s="3">
        <v>77000</v>
      </c>
      <c r="H52" s="3">
        <v>213000</v>
      </c>
    </row>
    <row r="53" spans="1:8" x14ac:dyDescent="0.35">
      <c r="A53" s="3">
        <v>52</v>
      </c>
      <c r="B53" s="3" t="s">
        <v>15</v>
      </c>
      <c r="C53" s="3" t="s">
        <v>87</v>
      </c>
      <c r="D53" s="3" t="s">
        <v>86</v>
      </c>
      <c r="E53" s="3">
        <v>54000</v>
      </c>
      <c r="F53" s="3">
        <v>60000</v>
      </c>
      <c r="G53" s="3">
        <v>65000</v>
      </c>
      <c r="H53" s="3">
        <v>179000</v>
      </c>
    </row>
    <row r="54" spans="1:8" x14ac:dyDescent="0.35">
      <c r="A54" s="3">
        <v>53</v>
      </c>
      <c r="B54" s="3" t="s">
        <v>18</v>
      </c>
      <c r="C54" s="3" t="s">
        <v>46</v>
      </c>
      <c r="D54" s="3" t="s">
        <v>47</v>
      </c>
      <c r="E54" s="3">
        <v>28000</v>
      </c>
      <c r="F54" s="3">
        <v>32000</v>
      </c>
      <c r="G54" s="3">
        <v>35000</v>
      </c>
      <c r="H54" s="3">
        <v>95000</v>
      </c>
    </row>
    <row r="55" spans="1:8" x14ac:dyDescent="0.35">
      <c r="A55" s="3">
        <v>54</v>
      </c>
      <c r="B55" s="3" t="s">
        <v>21</v>
      </c>
      <c r="C55" s="3" t="s">
        <v>88</v>
      </c>
      <c r="D55" s="3" t="s">
        <v>47</v>
      </c>
      <c r="E55" s="3">
        <v>23000</v>
      </c>
      <c r="F55" s="3">
        <v>26000</v>
      </c>
      <c r="G55" s="3">
        <v>29000</v>
      </c>
      <c r="H55" s="3">
        <v>78000</v>
      </c>
    </row>
    <row r="56" spans="1:8" x14ac:dyDescent="0.35">
      <c r="A56" s="3">
        <v>55</v>
      </c>
      <c r="B56" s="3" t="s">
        <v>23</v>
      </c>
      <c r="C56" s="3" t="s">
        <v>89</v>
      </c>
      <c r="D56" s="3" t="s">
        <v>90</v>
      </c>
      <c r="E56" s="3">
        <v>45000</v>
      </c>
      <c r="F56" s="3">
        <v>50000</v>
      </c>
      <c r="G56" s="3">
        <v>55000</v>
      </c>
      <c r="H56" s="3">
        <v>150000</v>
      </c>
    </row>
    <row r="57" spans="1:8" x14ac:dyDescent="0.35">
      <c r="A57" s="3">
        <v>56</v>
      </c>
      <c r="B57" s="3" t="s">
        <v>26</v>
      </c>
      <c r="C57" s="3" t="s">
        <v>91</v>
      </c>
      <c r="D57" s="3" t="s">
        <v>90</v>
      </c>
      <c r="E57" s="3">
        <v>34000</v>
      </c>
      <c r="F57" s="3">
        <v>38000</v>
      </c>
      <c r="G57" s="3">
        <v>42000</v>
      </c>
      <c r="H57" s="3">
        <v>114000</v>
      </c>
    </row>
    <row r="58" spans="1:8" x14ac:dyDescent="0.35">
      <c r="A58" s="3">
        <v>57</v>
      </c>
      <c r="B58" s="3" t="s">
        <v>8</v>
      </c>
      <c r="C58" s="3" t="s">
        <v>19</v>
      </c>
      <c r="D58" s="3" t="s">
        <v>20</v>
      </c>
      <c r="E58" s="3">
        <v>145000</v>
      </c>
      <c r="F58" s="3">
        <v>152000</v>
      </c>
      <c r="G58" s="3">
        <v>165000</v>
      </c>
      <c r="H58" s="3">
        <v>462000</v>
      </c>
    </row>
    <row r="59" spans="1:8" x14ac:dyDescent="0.35">
      <c r="A59" s="3">
        <v>58</v>
      </c>
      <c r="B59" s="3" t="s">
        <v>11</v>
      </c>
      <c r="C59" s="3" t="s">
        <v>92</v>
      </c>
      <c r="D59" s="3" t="s">
        <v>20</v>
      </c>
      <c r="E59" s="3">
        <v>102000</v>
      </c>
      <c r="F59" s="3">
        <v>110000</v>
      </c>
      <c r="G59" s="3">
        <v>118000</v>
      </c>
      <c r="H59" s="3">
        <v>330000</v>
      </c>
    </row>
    <row r="60" spans="1:8" x14ac:dyDescent="0.35">
      <c r="A60" s="3">
        <v>59</v>
      </c>
      <c r="B60" s="3" t="s">
        <v>13</v>
      </c>
      <c r="C60" s="3" t="s">
        <v>93</v>
      </c>
      <c r="D60" s="3" t="s">
        <v>20</v>
      </c>
      <c r="E60" s="3">
        <v>70000</v>
      </c>
      <c r="F60" s="3">
        <v>76000</v>
      </c>
      <c r="G60" s="3">
        <v>82000</v>
      </c>
      <c r="H60" s="3">
        <v>228000</v>
      </c>
    </row>
    <row r="61" spans="1:8" x14ac:dyDescent="0.35">
      <c r="A61" s="3">
        <v>60</v>
      </c>
      <c r="B61" s="3" t="s">
        <v>15</v>
      </c>
      <c r="C61" s="3" t="s">
        <v>94</v>
      </c>
      <c r="D61" s="3" t="s">
        <v>20</v>
      </c>
      <c r="E61" s="3">
        <v>56000</v>
      </c>
      <c r="F61" s="3">
        <v>62000</v>
      </c>
      <c r="G61" s="3">
        <v>67000</v>
      </c>
      <c r="H61" s="3">
        <v>185000</v>
      </c>
    </row>
    <row r="62" spans="1:8" x14ac:dyDescent="0.35">
      <c r="A62" s="3">
        <v>61</v>
      </c>
      <c r="B62" s="3" t="s">
        <v>18</v>
      </c>
      <c r="C62" s="3" t="s">
        <v>27</v>
      </c>
      <c r="D62" s="3" t="s">
        <v>25</v>
      </c>
      <c r="E62" s="3">
        <v>32000</v>
      </c>
      <c r="F62" s="3">
        <v>36000</v>
      </c>
      <c r="G62" s="3">
        <v>40000</v>
      </c>
      <c r="H62" s="3">
        <v>108000</v>
      </c>
    </row>
    <row r="63" spans="1:8" x14ac:dyDescent="0.35">
      <c r="A63" s="3">
        <v>62</v>
      </c>
      <c r="B63" s="3" t="s">
        <v>21</v>
      </c>
      <c r="C63" s="3" t="s">
        <v>95</v>
      </c>
      <c r="D63" s="3" t="s">
        <v>25</v>
      </c>
      <c r="E63" s="3">
        <v>27000</v>
      </c>
      <c r="F63" s="3">
        <v>30000</v>
      </c>
      <c r="G63" s="3">
        <v>34000</v>
      </c>
      <c r="H63" s="3">
        <v>91000</v>
      </c>
    </row>
    <row r="64" spans="1:8" x14ac:dyDescent="0.35">
      <c r="A64" s="3">
        <v>63</v>
      </c>
      <c r="B64" s="3" t="s">
        <v>23</v>
      </c>
      <c r="C64" s="3" t="s">
        <v>96</v>
      </c>
      <c r="D64" s="3" t="s">
        <v>25</v>
      </c>
      <c r="E64" s="3">
        <v>49000</v>
      </c>
      <c r="F64" s="3">
        <v>55000</v>
      </c>
      <c r="G64" s="3">
        <v>60000</v>
      </c>
      <c r="H64" s="3">
        <v>164000</v>
      </c>
    </row>
    <row r="65" spans="1:8" x14ac:dyDescent="0.35">
      <c r="A65" s="3">
        <v>64</v>
      </c>
      <c r="B65" s="3" t="s">
        <v>26</v>
      </c>
      <c r="C65" s="3" t="s">
        <v>97</v>
      </c>
      <c r="D65" s="3" t="s">
        <v>25</v>
      </c>
      <c r="E65" s="3">
        <v>37000</v>
      </c>
      <c r="F65" s="3">
        <v>41000</v>
      </c>
      <c r="G65" s="3">
        <v>45000</v>
      </c>
      <c r="H65" s="3">
        <v>123000</v>
      </c>
    </row>
    <row r="66" spans="1:8" x14ac:dyDescent="0.35">
      <c r="A66" s="3">
        <v>65</v>
      </c>
      <c r="B66" s="3" t="s">
        <v>8</v>
      </c>
      <c r="C66" s="3" t="s">
        <v>14</v>
      </c>
      <c r="D66" s="3" t="s">
        <v>14</v>
      </c>
      <c r="E66" s="3">
        <v>138000</v>
      </c>
      <c r="F66" s="3">
        <v>147000</v>
      </c>
      <c r="G66" s="3">
        <v>158000</v>
      </c>
      <c r="H66" s="3">
        <v>443000</v>
      </c>
    </row>
    <row r="67" spans="1:8" x14ac:dyDescent="0.35">
      <c r="A67" s="3">
        <v>66</v>
      </c>
      <c r="B67" s="3" t="s">
        <v>11</v>
      </c>
      <c r="C67" s="3" t="s">
        <v>98</v>
      </c>
      <c r="D67" s="3" t="s">
        <v>31</v>
      </c>
      <c r="E67" s="3">
        <v>96000</v>
      </c>
      <c r="F67" s="3">
        <v>104000</v>
      </c>
      <c r="G67" s="3">
        <v>112000</v>
      </c>
      <c r="H67" s="3">
        <v>312000</v>
      </c>
    </row>
    <row r="68" spans="1:8" x14ac:dyDescent="0.35">
      <c r="A68" s="3">
        <v>67</v>
      </c>
      <c r="B68" s="3" t="s">
        <v>13</v>
      </c>
      <c r="C68" s="3" t="s">
        <v>99</v>
      </c>
      <c r="D68" s="3" t="s">
        <v>31</v>
      </c>
      <c r="E68" s="3">
        <v>66000</v>
      </c>
      <c r="F68" s="3">
        <v>72000</v>
      </c>
      <c r="G68" s="3">
        <v>79000</v>
      </c>
      <c r="H68" s="3">
        <v>217000</v>
      </c>
    </row>
    <row r="69" spans="1:8" x14ac:dyDescent="0.35">
      <c r="A69" s="3">
        <v>68</v>
      </c>
      <c r="B69" s="3" t="s">
        <v>15</v>
      </c>
      <c r="C69" s="3" t="s">
        <v>100</v>
      </c>
      <c r="D69" s="3" t="s">
        <v>31</v>
      </c>
      <c r="E69" s="3">
        <v>55000</v>
      </c>
      <c r="F69" s="3">
        <v>61000</v>
      </c>
      <c r="G69" s="3">
        <v>66000</v>
      </c>
      <c r="H69" s="3">
        <v>182000</v>
      </c>
    </row>
    <row r="70" spans="1:8" x14ac:dyDescent="0.35">
      <c r="A70" s="3">
        <v>69</v>
      </c>
      <c r="B70" s="3" t="s">
        <v>18</v>
      </c>
      <c r="C70" s="3" t="s">
        <v>101</v>
      </c>
      <c r="D70" s="3" t="s">
        <v>41</v>
      </c>
      <c r="E70" s="3">
        <v>30000</v>
      </c>
      <c r="F70" s="3">
        <v>34000</v>
      </c>
      <c r="G70" s="3">
        <v>38000</v>
      </c>
      <c r="H70" s="3">
        <v>102000</v>
      </c>
    </row>
    <row r="71" spans="1:8" x14ac:dyDescent="0.35">
      <c r="A71" s="3">
        <v>70</v>
      </c>
      <c r="B71" s="3" t="s">
        <v>21</v>
      </c>
      <c r="C71" s="3" t="s">
        <v>102</v>
      </c>
      <c r="D71" s="3" t="s">
        <v>41</v>
      </c>
      <c r="E71" s="3">
        <v>26000</v>
      </c>
      <c r="F71" s="3">
        <v>29000</v>
      </c>
      <c r="G71" s="3">
        <v>32000</v>
      </c>
      <c r="H71" s="3">
        <v>87000</v>
      </c>
    </row>
    <row r="72" spans="1:8" x14ac:dyDescent="0.35">
      <c r="A72" s="3">
        <v>71</v>
      </c>
      <c r="B72" s="3" t="s">
        <v>23</v>
      </c>
      <c r="C72" s="3" t="s">
        <v>42</v>
      </c>
      <c r="D72" s="3" t="s">
        <v>41</v>
      </c>
      <c r="E72" s="3">
        <v>50000</v>
      </c>
      <c r="F72" s="3">
        <v>56000</v>
      </c>
      <c r="G72" s="3">
        <v>61000</v>
      </c>
      <c r="H72" s="3">
        <v>167000</v>
      </c>
    </row>
    <row r="73" spans="1:8" x14ac:dyDescent="0.35">
      <c r="A73" s="3">
        <v>72</v>
      </c>
      <c r="B73" s="3" t="s">
        <v>26</v>
      </c>
      <c r="C73" s="3" t="s">
        <v>103</v>
      </c>
      <c r="D73" s="3" t="s">
        <v>41</v>
      </c>
      <c r="E73" s="3">
        <v>36000</v>
      </c>
      <c r="F73" s="3">
        <v>40000</v>
      </c>
      <c r="G73" s="3">
        <v>44000</v>
      </c>
      <c r="H73" s="3">
        <v>120000</v>
      </c>
    </row>
    <row r="74" spans="1:8" x14ac:dyDescent="0.35">
      <c r="A74" s="3">
        <v>73</v>
      </c>
      <c r="B74" s="3" t="s">
        <v>8</v>
      </c>
      <c r="C74" s="3" t="s">
        <v>43</v>
      </c>
      <c r="D74" s="3" t="s">
        <v>44</v>
      </c>
      <c r="E74" s="3">
        <v>112000</v>
      </c>
      <c r="F74" s="3">
        <v>120000</v>
      </c>
      <c r="G74" s="3">
        <v>133000</v>
      </c>
      <c r="H74" s="3">
        <v>365000</v>
      </c>
    </row>
    <row r="75" spans="1:8" x14ac:dyDescent="0.35">
      <c r="A75" s="3">
        <v>74</v>
      </c>
      <c r="B75" s="3" t="s">
        <v>11</v>
      </c>
      <c r="C75" s="3" t="s">
        <v>104</v>
      </c>
      <c r="D75" s="3" t="s">
        <v>44</v>
      </c>
      <c r="E75" s="3">
        <v>81000</v>
      </c>
      <c r="F75" s="3">
        <v>89000</v>
      </c>
      <c r="G75" s="3">
        <v>97000</v>
      </c>
      <c r="H75" s="3">
        <v>267000</v>
      </c>
    </row>
    <row r="76" spans="1:8" x14ac:dyDescent="0.35">
      <c r="A76" s="3">
        <v>75</v>
      </c>
      <c r="B76" s="3" t="s">
        <v>13</v>
      </c>
      <c r="C76" s="3" t="s">
        <v>45</v>
      </c>
      <c r="D76" s="3" t="s">
        <v>44</v>
      </c>
      <c r="E76" s="3">
        <v>63000</v>
      </c>
      <c r="F76" s="3">
        <v>69000</v>
      </c>
      <c r="G76" s="3">
        <v>75000</v>
      </c>
      <c r="H76" s="3">
        <v>207000</v>
      </c>
    </row>
    <row r="77" spans="1:8" x14ac:dyDescent="0.35">
      <c r="A77" s="3">
        <v>76</v>
      </c>
      <c r="B77" s="3" t="s">
        <v>15</v>
      </c>
      <c r="C77" s="3" t="s">
        <v>105</v>
      </c>
      <c r="D77" s="3" t="s">
        <v>44</v>
      </c>
      <c r="E77" s="3">
        <v>52000</v>
      </c>
      <c r="F77" s="3">
        <v>58000</v>
      </c>
      <c r="G77" s="3">
        <v>63000</v>
      </c>
      <c r="H77" s="3">
        <v>173000</v>
      </c>
    </row>
    <row r="78" spans="1:8" x14ac:dyDescent="0.35">
      <c r="A78" s="3">
        <v>77</v>
      </c>
      <c r="B78" s="3" t="s">
        <v>18</v>
      </c>
      <c r="C78" s="3" t="s">
        <v>49</v>
      </c>
      <c r="D78" s="3" t="s">
        <v>50</v>
      </c>
      <c r="E78" s="3">
        <v>34000</v>
      </c>
      <c r="F78" s="3">
        <v>38000</v>
      </c>
      <c r="G78" s="3">
        <v>42000</v>
      </c>
      <c r="H78" s="3">
        <v>114000</v>
      </c>
    </row>
    <row r="79" spans="1:8" x14ac:dyDescent="0.35">
      <c r="A79" s="3">
        <v>78</v>
      </c>
      <c r="B79" s="3" t="s">
        <v>21</v>
      </c>
      <c r="C79" s="3" t="s">
        <v>106</v>
      </c>
      <c r="D79" s="3" t="s">
        <v>50</v>
      </c>
      <c r="E79" s="3">
        <v>28000</v>
      </c>
      <c r="F79" s="3">
        <v>31000</v>
      </c>
      <c r="G79" s="3">
        <v>35000</v>
      </c>
      <c r="H79" s="3">
        <v>94000</v>
      </c>
    </row>
    <row r="80" spans="1:8" x14ac:dyDescent="0.35">
      <c r="A80" s="3">
        <v>79</v>
      </c>
      <c r="B80" s="3" t="s">
        <v>23</v>
      </c>
      <c r="C80" s="3" t="s">
        <v>107</v>
      </c>
      <c r="D80" s="3" t="s">
        <v>50</v>
      </c>
      <c r="E80" s="3">
        <v>53000</v>
      </c>
      <c r="F80" s="3">
        <v>59000</v>
      </c>
      <c r="G80" s="3">
        <v>64000</v>
      </c>
      <c r="H80" s="3">
        <v>176000</v>
      </c>
    </row>
    <row r="81" spans="1:8" x14ac:dyDescent="0.35">
      <c r="A81" s="3">
        <v>80</v>
      </c>
      <c r="B81" s="3" t="s">
        <v>26</v>
      </c>
      <c r="C81" s="3" t="s">
        <v>108</v>
      </c>
      <c r="D81" s="3" t="s">
        <v>50</v>
      </c>
      <c r="E81" s="3">
        <v>39000</v>
      </c>
      <c r="F81" s="3">
        <v>43000</v>
      </c>
      <c r="G81" s="3">
        <v>47000</v>
      </c>
      <c r="H81" s="3">
        <v>129000</v>
      </c>
    </row>
    <row r="82" spans="1:8" x14ac:dyDescent="0.35">
      <c r="A82" s="3">
        <v>81</v>
      </c>
      <c r="B82" s="3" t="s">
        <v>8</v>
      </c>
      <c r="C82" s="3" t="s">
        <v>58</v>
      </c>
      <c r="D82" s="3" t="s">
        <v>59</v>
      </c>
      <c r="E82" s="3">
        <v>142000</v>
      </c>
      <c r="F82" s="3">
        <v>150000</v>
      </c>
      <c r="G82" s="3">
        <v>162000</v>
      </c>
      <c r="H82" s="3">
        <v>454000</v>
      </c>
    </row>
    <row r="83" spans="1:8" x14ac:dyDescent="0.35">
      <c r="A83" s="3">
        <v>82</v>
      </c>
      <c r="B83" s="3" t="s">
        <v>11</v>
      </c>
      <c r="C83" s="3" t="s">
        <v>109</v>
      </c>
      <c r="D83" s="3" t="s">
        <v>59</v>
      </c>
      <c r="E83" s="3">
        <v>91000</v>
      </c>
      <c r="F83" s="3">
        <v>100000</v>
      </c>
      <c r="G83" s="3">
        <v>108000</v>
      </c>
      <c r="H83" s="3">
        <v>299000</v>
      </c>
    </row>
    <row r="84" spans="1:8" x14ac:dyDescent="0.35">
      <c r="A84" s="3">
        <v>83</v>
      </c>
      <c r="B84" s="3" t="s">
        <v>13</v>
      </c>
      <c r="C84" s="3" t="s">
        <v>110</v>
      </c>
      <c r="D84" s="3" t="s">
        <v>59</v>
      </c>
      <c r="E84" s="3">
        <v>68000</v>
      </c>
      <c r="F84" s="3">
        <v>74000</v>
      </c>
      <c r="G84" s="3">
        <v>81000</v>
      </c>
      <c r="H84" s="3">
        <v>223000</v>
      </c>
    </row>
    <row r="85" spans="1:8" x14ac:dyDescent="0.35">
      <c r="A85" s="3">
        <v>84</v>
      </c>
      <c r="B85" s="3" t="s">
        <v>15</v>
      </c>
      <c r="C85" s="3" t="s">
        <v>111</v>
      </c>
      <c r="D85" s="3" t="s">
        <v>59</v>
      </c>
      <c r="E85" s="3">
        <v>57000</v>
      </c>
      <c r="F85" s="3">
        <v>63000</v>
      </c>
      <c r="G85" s="3">
        <v>68000</v>
      </c>
      <c r="H85" s="3">
        <v>188000</v>
      </c>
    </row>
    <row r="86" spans="1:8" x14ac:dyDescent="0.35">
      <c r="A86" s="3">
        <v>85</v>
      </c>
      <c r="B86" s="3" t="s">
        <v>18</v>
      </c>
      <c r="C86" s="3" t="s">
        <v>64</v>
      </c>
      <c r="D86" s="3" t="s">
        <v>65</v>
      </c>
      <c r="E86" s="3">
        <v>35000</v>
      </c>
      <c r="F86" s="3">
        <v>39000</v>
      </c>
      <c r="G86" s="3">
        <v>43000</v>
      </c>
      <c r="H86" s="3">
        <v>117000</v>
      </c>
    </row>
    <row r="87" spans="1:8" x14ac:dyDescent="0.35">
      <c r="A87" s="3">
        <v>86</v>
      </c>
      <c r="B87" s="3" t="s">
        <v>21</v>
      </c>
      <c r="C87" s="3" t="s">
        <v>112</v>
      </c>
      <c r="D87" s="3" t="s">
        <v>65</v>
      </c>
      <c r="E87" s="3">
        <v>29000</v>
      </c>
      <c r="F87" s="3">
        <v>32000</v>
      </c>
      <c r="G87" s="3">
        <v>36000</v>
      </c>
      <c r="H87" s="3">
        <v>97000</v>
      </c>
    </row>
    <row r="88" spans="1:8" x14ac:dyDescent="0.35">
      <c r="A88" s="3">
        <v>87</v>
      </c>
      <c r="B88" s="3" t="s">
        <v>23</v>
      </c>
      <c r="C88" s="3" t="s">
        <v>113</v>
      </c>
      <c r="D88" s="3" t="s">
        <v>65</v>
      </c>
      <c r="E88" s="3">
        <v>51000</v>
      </c>
      <c r="F88" s="3">
        <v>57000</v>
      </c>
      <c r="G88" s="3">
        <v>62000</v>
      </c>
      <c r="H88" s="3">
        <v>170000</v>
      </c>
    </row>
    <row r="89" spans="1:8" x14ac:dyDescent="0.35">
      <c r="A89" s="3">
        <v>88</v>
      </c>
      <c r="B89" s="3" t="s">
        <v>26</v>
      </c>
      <c r="C89" s="3" t="s">
        <v>114</v>
      </c>
      <c r="D89" s="3" t="s">
        <v>65</v>
      </c>
      <c r="E89" s="3">
        <v>38000</v>
      </c>
      <c r="F89" s="3">
        <v>42000</v>
      </c>
      <c r="G89" s="3">
        <v>46000</v>
      </c>
      <c r="H89" s="3">
        <v>126000</v>
      </c>
    </row>
    <row r="90" spans="1:8" x14ac:dyDescent="0.35">
      <c r="A90" s="3">
        <v>89</v>
      </c>
      <c r="B90" s="3" t="s">
        <v>8</v>
      </c>
      <c r="C90" s="3" t="s">
        <v>61</v>
      </c>
      <c r="D90" s="3" t="s">
        <v>62</v>
      </c>
      <c r="E90" s="3">
        <v>136000</v>
      </c>
      <c r="F90" s="3">
        <v>145000</v>
      </c>
      <c r="G90" s="3">
        <v>157000</v>
      </c>
      <c r="H90" s="3">
        <v>438000</v>
      </c>
    </row>
    <row r="91" spans="1:8" x14ac:dyDescent="0.35">
      <c r="A91" s="3">
        <v>90</v>
      </c>
      <c r="B91" s="3" t="s">
        <v>11</v>
      </c>
      <c r="C91" s="3" t="s">
        <v>115</v>
      </c>
      <c r="D91" s="3" t="s">
        <v>62</v>
      </c>
      <c r="E91" s="3">
        <v>80000</v>
      </c>
      <c r="F91" s="3">
        <v>88000</v>
      </c>
      <c r="G91" s="3">
        <v>96000</v>
      </c>
      <c r="H91" s="3">
        <v>264000</v>
      </c>
    </row>
    <row r="92" spans="1:8" x14ac:dyDescent="0.35">
      <c r="A92" s="3">
        <v>91</v>
      </c>
      <c r="B92" s="3" t="s">
        <v>13</v>
      </c>
      <c r="C92" s="3" t="s">
        <v>67</v>
      </c>
      <c r="D92" s="3" t="s">
        <v>68</v>
      </c>
      <c r="E92" s="3">
        <v>73000</v>
      </c>
      <c r="F92" s="3">
        <v>79000</v>
      </c>
      <c r="G92" s="3">
        <v>85000</v>
      </c>
      <c r="H92" s="3">
        <v>237000</v>
      </c>
    </row>
    <row r="93" spans="1:8" x14ac:dyDescent="0.35">
      <c r="A93" s="3">
        <v>92</v>
      </c>
      <c r="B93" s="3" t="s">
        <v>15</v>
      </c>
      <c r="C93" s="3" t="s">
        <v>116</v>
      </c>
      <c r="D93" s="3" t="s">
        <v>68</v>
      </c>
      <c r="E93" s="3">
        <v>60000</v>
      </c>
      <c r="F93" s="3">
        <v>66000</v>
      </c>
      <c r="G93" s="3">
        <v>71000</v>
      </c>
      <c r="H93" s="3">
        <v>197000</v>
      </c>
    </row>
    <row r="94" spans="1:8" x14ac:dyDescent="0.35">
      <c r="A94" s="3">
        <v>93</v>
      </c>
      <c r="B94" s="3" t="s">
        <v>18</v>
      </c>
      <c r="C94" s="3" t="s">
        <v>33</v>
      </c>
      <c r="D94" s="3" t="s">
        <v>34</v>
      </c>
      <c r="E94" s="3">
        <v>31000</v>
      </c>
      <c r="F94" s="3">
        <v>35000</v>
      </c>
      <c r="G94" s="3">
        <v>39000</v>
      </c>
      <c r="H94" s="3">
        <v>105000</v>
      </c>
    </row>
    <row r="95" spans="1:8" x14ac:dyDescent="0.35">
      <c r="A95" s="3">
        <v>94</v>
      </c>
      <c r="B95" s="3" t="s">
        <v>21</v>
      </c>
      <c r="C95" s="3" t="s">
        <v>117</v>
      </c>
      <c r="D95" s="3" t="s">
        <v>34</v>
      </c>
      <c r="E95" s="3">
        <v>26000</v>
      </c>
      <c r="F95" s="3">
        <v>29000</v>
      </c>
      <c r="G95" s="3">
        <v>33000</v>
      </c>
      <c r="H95" s="3">
        <v>88000</v>
      </c>
    </row>
    <row r="96" spans="1:8" x14ac:dyDescent="0.35">
      <c r="A96" s="3">
        <v>95</v>
      </c>
      <c r="B96" s="3" t="s">
        <v>23</v>
      </c>
      <c r="C96" s="3" t="s">
        <v>35</v>
      </c>
      <c r="D96" s="3" t="s">
        <v>34</v>
      </c>
      <c r="E96" s="3">
        <v>54000</v>
      </c>
      <c r="F96" s="3">
        <v>60000</v>
      </c>
      <c r="G96" s="3">
        <v>65000</v>
      </c>
      <c r="H96" s="3">
        <v>179000</v>
      </c>
    </row>
    <row r="97" spans="1:8" x14ac:dyDescent="0.35">
      <c r="A97" s="3">
        <v>96</v>
      </c>
      <c r="B97" s="3" t="s">
        <v>26</v>
      </c>
      <c r="C97" s="3" t="s">
        <v>118</v>
      </c>
      <c r="D97" s="3" t="s">
        <v>34</v>
      </c>
      <c r="E97" s="3">
        <v>37000</v>
      </c>
      <c r="F97" s="3">
        <v>41000</v>
      </c>
      <c r="G97" s="3">
        <v>45000</v>
      </c>
      <c r="H97" s="3">
        <v>123000</v>
      </c>
    </row>
    <row r="98" spans="1:8" x14ac:dyDescent="0.35">
      <c r="A98" s="3">
        <v>97</v>
      </c>
      <c r="B98" s="3" t="s">
        <v>8</v>
      </c>
      <c r="C98" s="3" t="s">
        <v>9</v>
      </c>
      <c r="D98" s="3" t="s">
        <v>10</v>
      </c>
      <c r="E98" s="3">
        <v>130000</v>
      </c>
      <c r="F98" s="3">
        <v>139000</v>
      </c>
      <c r="G98" s="3">
        <v>151000</v>
      </c>
      <c r="H98" s="3">
        <v>420000</v>
      </c>
    </row>
    <row r="99" spans="1:8" x14ac:dyDescent="0.35">
      <c r="A99" s="3">
        <v>98</v>
      </c>
      <c r="B99" s="3" t="s">
        <v>11</v>
      </c>
      <c r="C99" s="3" t="s">
        <v>119</v>
      </c>
      <c r="D99" s="3" t="s">
        <v>10</v>
      </c>
      <c r="E99" s="3">
        <v>94000</v>
      </c>
      <c r="F99" s="3">
        <v>103000</v>
      </c>
      <c r="G99" s="3">
        <v>111000</v>
      </c>
      <c r="H99" s="3">
        <v>308000</v>
      </c>
    </row>
    <row r="100" spans="1:8" x14ac:dyDescent="0.35">
      <c r="A100" s="3">
        <v>99</v>
      </c>
      <c r="B100" s="3" t="s">
        <v>13</v>
      </c>
      <c r="C100" s="3" t="s">
        <v>120</v>
      </c>
      <c r="D100" s="3" t="s">
        <v>10</v>
      </c>
      <c r="E100" s="3">
        <v>68000</v>
      </c>
      <c r="F100" s="3">
        <v>75000</v>
      </c>
      <c r="G100" s="3">
        <v>81000</v>
      </c>
      <c r="H100" s="3">
        <v>224000</v>
      </c>
    </row>
    <row r="101" spans="1:8" x14ac:dyDescent="0.35">
      <c r="A101" s="3">
        <v>100</v>
      </c>
      <c r="B101" s="3" t="s">
        <v>15</v>
      </c>
      <c r="C101" s="3" t="s">
        <v>121</v>
      </c>
      <c r="D101" s="3" t="s">
        <v>10</v>
      </c>
      <c r="E101" s="3">
        <v>57000</v>
      </c>
      <c r="F101" s="3">
        <v>63000</v>
      </c>
      <c r="G101" s="3">
        <v>69000</v>
      </c>
      <c r="H101" s="3">
        <v>189000</v>
      </c>
    </row>
  </sheetData>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795E09F-26F0-4AA2-868E-7E99166692EA}">
          <x14:formula1>
            <xm:f>Sheet2!#REF!</xm:f>
          </x14:formula1>
          <xm:sqref>L2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7D81-56C8-43AC-A695-C78DE710A29B}">
  <dimension ref="A1:N101"/>
  <sheetViews>
    <sheetView tabSelected="1" topLeftCell="C61" workbookViewId="0">
      <selection activeCell="J73" sqref="J73"/>
    </sheetView>
  </sheetViews>
  <sheetFormatPr defaultRowHeight="14.5" x14ac:dyDescent="0.35"/>
  <cols>
    <col min="1" max="1" width="3.1796875" bestFit="1" customWidth="1"/>
    <col min="2" max="2" width="12" bestFit="1" customWidth="1"/>
    <col min="3" max="3" width="12.81640625" bestFit="1" customWidth="1"/>
    <col min="4" max="4" width="8.54296875" bestFit="1" customWidth="1"/>
    <col min="5" max="5" width="9.7265625" bestFit="1" customWidth="1"/>
    <col min="6" max="6" width="15.26953125" customWidth="1"/>
    <col min="7" max="7" width="12.453125" customWidth="1"/>
    <col min="8" max="8" width="14.08984375" customWidth="1"/>
    <col min="9" max="9" width="17.08984375" customWidth="1"/>
    <col min="10" max="10" width="17.453125" customWidth="1"/>
    <col min="11" max="11" width="16.54296875" customWidth="1"/>
    <col min="12" max="12" width="14.54296875" customWidth="1"/>
    <col min="13" max="13" width="13.90625" customWidth="1"/>
  </cols>
  <sheetData>
    <row r="1" spans="1:14" ht="29" x14ac:dyDescent="0.35">
      <c r="A1" s="1" t="s">
        <v>0</v>
      </c>
      <c r="B1" s="2" t="s">
        <v>1</v>
      </c>
      <c r="C1" s="2" t="s">
        <v>130</v>
      </c>
      <c r="D1" s="2" t="s">
        <v>2</v>
      </c>
      <c r="E1" s="2" t="s">
        <v>3</v>
      </c>
      <c r="F1" s="1" t="s">
        <v>131</v>
      </c>
      <c r="G1" s="1" t="s">
        <v>132</v>
      </c>
      <c r="H1" s="1" t="s">
        <v>133</v>
      </c>
      <c r="I1" s="1" t="s">
        <v>134</v>
      </c>
      <c r="J1" s="1" t="s">
        <v>135</v>
      </c>
      <c r="K1" s="1" t="s">
        <v>136</v>
      </c>
      <c r="L1" s="1" t="s">
        <v>140</v>
      </c>
      <c r="M1" s="8" t="s">
        <v>141</v>
      </c>
      <c r="N1" s="1" t="s">
        <v>142</v>
      </c>
    </row>
    <row r="2" spans="1:14" x14ac:dyDescent="0.35">
      <c r="A2" s="6">
        <v>1</v>
      </c>
      <c r="B2" s="7" t="s">
        <v>8</v>
      </c>
      <c r="C2" s="7" t="s">
        <v>137</v>
      </c>
      <c r="D2" s="7" t="s">
        <v>9</v>
      </c>
      <c r="E2" s="7" t="s">
        <v>10</v>
      </c>
      <c r="F2" s="6">
        <v>120</v>
      </c>
      <c r="G2" s="6">
        <v>80</v>
      </c>
      <c r="H2" s="6">
        <v>95</v>
      </c>
      <c r="I2" s="6">
        <v>45000</v>
      </c>
      <c r="J2" s="6">
        <v>50</v>
      </c>
      <c r="K2" s="6">
        <v>7</v>
      </c>
      <c r="L2" s="6">
        <f t="shared" ref="L2:L33" si="0">F2+G2-H2</f>
        <v>105</v>
      </c>
      <c r="M2" s="9">
        <f t="shared" ref="M2:M33" si="1">I2/L2</f>
        <v>428.57142857142856</v>
      </c>
      <c r="N2" s="6" t="str">
        <f t="shared" ref="N2:N33" si="2">IF(L2&lt;=J2, "Reorder", "Sufficient")</f>
        <v>Sufficient</v>
      </c>
    </row>
    <row r="3" spans="1:14" x14ac:dyDescent="0.35">
      <c r="A3" s="6">
        <v>2</v>
      </c>
      <c r="B3" s="7" t="s">
        <v>11</v>
      </c>
      <c r="C3" s="7" t="s">
        <v>137</v>
      </c>
      <c r="D3" s="7" t="s">
        <v>12</v>
      </c>
      <c r="E3" s="7" t="s">
        <v>10</v>
      </c>
      <c r="F3" s="6">
        <v>200</v>
      </c>
      <c r="G3" s="6">
        <v>150</v>
      </c>
      <c r="H3" s="6">
        <v>175</v>
      </c>
      <c r="I3" s="6">
        <v>18000</v>
      </c>
      <c r="J3" s="6">
        <v>70</v>
      </c>
      <c r="K3" s="6">
        <v>5</v>
      </c>
      <c r="L3" s="6">
        <f t="shared" si="0"/>
        <v>175</v>
      </c>
      <c r="M3" s="9">
        <f t="shared" si="1"/>
        <v>102.85714285714286</v>
      </c>
      <c r="N3" s="6" t="str">
        <f t="shared" si="2"/>
        <v>Sufficient</v>
      </c>
    </row>
    <row r="4" spans="1:14" x14ac:dyDescent="0.35">
      <c r="A4" s="6">
        <v>3</v>
      </c>
      <c r="B4" s="7" t="s">
        <v>13</v>
      </c>
      <c r="C4" s="7" t="s">
        <v>137</v>
      </c>
      <c r="D4" s="7" t="s">
        <v>28</v>
      </c>
      <c r="E4" s="7" t="s">
        <v>10</v>
      </c>
      <c r="F4" s="6">
        <v>100</v>
      </c>
      <c r="G4" s="6">
        <v>90</v>
      </c>
      <c r="H4" s="6">
        <v>85</v>
      </c>
      <c r="I4" s="6">
        <v>22000</v>
      </c>
      <c r="J4" s="6">
        <v>40</v>
      </c>
      <c r="K4" s="6">
        <v>6</v>
      </c>
      <c r="L4" s="6">
        <f t="shared" si="0"/>
        <v>105</v>
      </c>
      <c r="M4" s="9">
        <f t="shared" si="1"/>
        <v>209.52380952380952</v>
      </c>
      <c r="N4" s="6" t="str">
        <f t="shared" si="2"/>
        <v>Sufficient</v>
      </c>
    </row>
    <row r="5" spans="1:14" x14ac:dyDescent="0.35">
      <c r="A5" s="6">
        <v>4</v>
      </c>
      <c r="B5" s="7" t="s">
        <v>15</v>
      </c>
      <c r="C5" s="7" t="s">
        <v>137</v>
      </c>
      <c r="D5" s="7" t="s">
        <v>38</v>
      </c>
      <c r="E5" s="7" t="s">
        <v>10</v>
      </c>
      <c r="F5" s="6">
        <v>90</v>
      </c>
      <c r="G5" s="6">
        <v>70</v>
      </c>
      <c r="H5" s="6">
        <v>65</v>
      </c>
      <c r="I5" s="6">
        <v>14000</v>
      </c>
      <c r="J5" s="6">
        <v>35</v>
      </c>
      <c r="K5" s="6">
        <v>7</v>
      </c>
      <c r="L5" s="6">
        <f t="shared" si="0"/>
        <v>95</v>
      </c>
      <c r="M5" s="9">
        <f t="shared" si="1"/>
        <v>147.36842105263159</v>
      </c>
      <c r="N5" s="6" t="str">
        <f t="shared" si="2"/>
        <v>Sufficient</v>
      </c>
    </row>
    <row r="6" spans="1:14" x14ac:dyDescent="0.35">
      <c r="A6" s="6">
        <v>5</v>
      </c>
      <c r="B6" s="7" t="s">
        <v>18</v>
      </c>
      <c r="C6" s="7" t="s">
        <v>138</v>
      </c>
      <c r="D6" s="7" t="s">
        <v>29</v>
      </c>
      <c r="E6" s="7" t="s">
        <v>10</v>
      </c>
      <c r="F6" s="6">
        <v>150</v>
      </c>
      <c r="G6" s="6">
        <v>100</v>
      </c>
      <c r="H6" s="6">
        <v>120</v>
      </c>
      <c r="I6" s="6">
        <v>1200</v>
      </c>
      <c r="J6" s="6">
        <v>50</v>
      </c>
      <c r="K6" s="6">
        <v>4</v>
      </c>
      <c r="L6" s="6">
        <f t="shared" si="0"/>
        <v>130</v>
      </c>
      <c r="M6" s="9">
        <f t="shared" si="1"/>
        <v>9.2307692307692299</v>
      </c>
      <c r="N6" s="6" t="str">
        <f t="shared" si="2"/>
        <v>Sufficient</v>
      </c>
    </row>
    <row r="7" spans="1:14" x14ac:dyDescent="0.35">
      <c r="A7" s="6">
        <v>6</v>
      </c>
      <c r="B7" s="7" t="s">
        <v>21</v>
      </c>
      <c r="C7" s="7" t="s">
        <v>138</v>
      </c>
      <c r="D7" s="7" t="s">
        <v>39</v>
      </c>
      <c r="E7" s="7" t="s">
        <v>10</v>
      </c>
      <c r="F7" s="6">
        <v>180</v>
      </c>
      <c r="G7" s="6">
        <v>120</v>
      </c>
      <c r="H7" s="6">
        <v>140</v>
      </c>
      <c r="I7" s="6">
        <v>700</v>
      </c>
      <c r="J7" s="6">
        <v>60</v>
      </c>
      <c r="K7" s="6">
        <v>4</v>
      </c>
      <c r="L7" s="6">
        <f t="shared" si="0"/>
        <v>160</v>
      </c>
      <c r="M7" s="9">
        <f t="shared" si="1"/>
        <v>4.375</v>
      </c>
      <c r="N7" s="6" t="str">
        <f t="shared" si="2"/>
        <v>Sufficient</v>
      </c>
    </row>
    <row r="8" spans="1:14" x14ac:dyDescent="0.35">
      <c r="A8" s="6">
        <v>7</v>
      </c>
      <c r="B8" s="7" t="s">
        <v>23</v>
      </c>
      <c r="C8" s="7" t="s">
        <v>137</v>
      </c>
      <c r="D8" s="7" t="s">
        <v>9</v>
      </c>
      <c r="E8" s="7" t="s">
        <v>10</v>
      </c>
      <c r="F8" s="6">
        <v>80</v>
      </c>
      <c r="G8" s="6">
        <v>60</v>
      </c>
      <c r="H8" s="6">
        <v>55</v>
      </c>
      <c r="I8" s="6">
        <v>12000</v>
      </c>
      <c r="J8" s="6">
        <v>30</v>
      </c>
      <c r="K8" s="6">
        <v>8</v>
      </c>
      <c r="L8" s="6">
        <f t="shared" si="0"/>
        <v>85</v>
      </c>
      <c r="M8" s="9">
        <f t="shared" si="1"/>
        <v>141.1764705882353</v>
      </c>
      <c r="N8" s="6" t="str">
        <f t="shared" si="2"/>
        <v>Sufficient</v>
      </c>
    </row>
    <row r="9" spans="1:14" x14ac:dyDescent="0.35">
      <c r="A9" s="6">
        <v>8</v>
      </c>
      <c r="B9" s="7" t="s">
        <v>26</v>
      </c>
      <c r="C9" s="7" t="s">
        <v>138</v>
      </c>
      <c r="D9" s="7" t="s">
        <v>12</v>
      </c>
      <c r="E9" s="7" t="s">
        <v>10</v>
      </c>
      <c r="F9" s="6">
        <v>160</v>
      </c>
      <c r="G9" s="6">
        <v>110</v>
      </c>
      <c r="H9" s="6">
        <v>125</v>
      </c>
      <c r="I9" s="6">
        <v>1800</v>
      </c>
      <c r="J9" s="6">
        <v>55</v>
      </c>
      <c r="K9" s="6">
        <v>5</v>
      </c>
      <c r="L9" s="6">
        <f t="shared" si="0"/>
        <v>145</v>
      </c>
      <c r="M9" s="9">
        <f t="shared" si="1"/>
        <v>12.413793103448276</v>
      </c>
      <c r="N9" s="6" t="str">
        <f t="shared" si="2"/>
        <v>Sufficient</v>
      </c>
    </row>
    <row r="10" spans="1:14" x14ac:dyDescent="0.35">
      <c r="A10" s="6">
        <v>9</v>
      </c>
      <c r="B10" s="7" t="s">
        <v>8</v>
      </c>
      <c r="C10" s="7" t="s">
        <v>137</v>
      </c>
      <c r="D10" s="7" t="s">
        <v>14</v>
      </c>
      <c r="E10" s="7" t="s">
        <v>14</v>
      </c>
      <c r="F10" s="6">
        <v>140</v>
      </c>
      <c r="G10" s="6">
        <v>100</v>
      </c>
      <c r="H10" s="6">
        <v>110</v>
      </c>
      <c r="I10" s="6">
        <v>45000</v>
      </c>
      <c r="J10" s="6">
        <v>55</v>
      </c>
      <c r="K10" s="6">
        <v>7</v>
      </c>
      <c r="L10" s="6">
        <f t="shared" si="0"/>
        <v>130</v>
      </c>
      <c r="M10" s="9">
        <f t="shared" si="1"/>
        <v>346.15384615384613</v>
      </c>
      <c r="N10" s="6" t="str">
        <f t="shared" si="2"/>
        <v>Sufficient</v>
      </c>
    </row>
    <row r="11" spans="1:14" x14ac:dyDescent="0.35">
      <c r="A11" s="6">
        <v>10</v>
      </c>
      <c r="B11" s="7" t="s">
        <v>11</v>
      </c>
      <c r="C11" s="7" t="s">
        <v>137</v>
      </c>
      <c r="D11" s="7" t="s">
        <v>14</v>
      </c>
      <c r="E11" s="7" t="s">
        <v>14</v>
      </c>
      <c r="F11" s="6">
        <v>220</v>
      </c>
      <c r="G11" s="6">
        <v>180</v>
      </c>
      <c r="H11" s="6">
        <v>190</v>
      </c>
      <c r="I11" s="6">
        <v>18000</v>
      </c>
      <c r="J11" s="6">
        <v>75</v>
      </c>
      <c r="K11" s="6">
        <v>5</v>
      </c>
      <c r="L11" s="6">
        <f t="shared" si="0"/>
        <v>210</v>
      </c>
      <c r="M11" s="9">
        <f t="shared" si="1"/>
        <v>85.714285714285708</v>
      </c>
      <c r="N11" s="6" t="str">
        <f t="shared" si="2"/>
        <v>Sufficient</v>
      </c>
    </row>
    <row r="12" spans="1:14" x14ac:dyDescent="0.35">
      <c r="A12" s="6">
        <v>11</v>
      </c>
      <c r="B12" s="7" t="s">
        <v>13</v>
      </c>
      <c r="C12" s="7" t="s">
        <v>137</v>
      </c>
      <c r="D12" s="7" t="s">
        <v>16</v>
      </c>
      <c r="E12" s="7" t="s">
        <v>17</v>
      </c>
      <c r="F12" s="6">
        <v>110</v>
      </c>
      <c r="G12" s="6">
        <v>80</v>
      </c>
      <c r="H12" s="6">
        <v>90</v>
      </c>
      <c r="I12" s="6">
        <v>22000</v>
      </c>
      <c r="J12" s="6">
        <v>45</v>
      </c>
      <c r="K12" s="6">
        <v>6</v>
      </c>
      <c r="L12" s="6">
        <f t="shared" si="0"/>
        <v>100</v>
      </c>
      <c r="M12" s="9">
        <f t="shared" si="1"/>
        <v>220</v>
      </c>
      <c r="N12" s="6" t="str">
        <f t="shared" si="2"/>
        <v>Sufficient</v>
      </c>
    </row>
    <row r="13" spans="1:14" x14ac:dyDescent="0.35">
      <c r="A13" s="6">
        <v>12</v>
      </c>
      <c r="B13" s="7" t="s">
        <v>15</v>
      </c>
      <c r="C13" s="7" t="s">
        <v>137</v>
      </c>
      <c r="D13" s="7" t="s">
        <v>73</v>
      </c>
      <c r="E13" s="7" t="s">
        <v>17</v>
      </c>
      <c r="F13" s="6">
        <v>95</v>
      </c>
      <c r="G13" s="6">
        <v>75</v>
      </c>
      <c r="H13" s="6">
        <v>80</v>
      </c>
      <c r="I13" s="6">
        <v>14000</v>
      </c>
      <c r="J13" s="6">
        <v>35</v>
      </c>
      <c r="K13" s="6">
        <v>7</v>
      </c>
      <c r="L13" s="6">
        <f t="shared" si="0"/>
        <v>90</v>
      </c>
      <c r="M13" s="9">
        <f t="shared" si="1"/>
        <v>155.55555555555554</v>
      </c>
      <c r="N13" s="6" t="str">
        <f t="shared" si="2"/>
        <v>Sufficient</v>
      </c>
    </row>
    <row r="14" spans="1:14" x14ac:dyDescent="0.35">
      <c r="A14" s="6">
        <v>13</v>
      </c>
      <c r="B14" s="7" t="s">
        <v>18</v>
      </c>
      <c r="C14" s="7" t="s">
        <v>138</v>
      </c>
      <c r="D14" s="7" t="s">
        <v>16</v>
      </c>
      <c r="E14" s="7" t="s">
        <v>17</v>
      </c>
      <c r="F14" s="6">
        <v>170</v>
      </c>
      <c r="G14" s="6">
        <v>120</v>
      </c>
      <c r="H14" s="6">
        <v>145</v>
      </c>
      <c r="I14" s="6">
        <v>1200</v>
      </c>
      <c r="J14" s="6">
        <v>60</v>
      </c>
      <c r="K14" s="6">
        <v>4</v>
      </c>
      <c r="L14" s="6">
        <f t="shared" si="0"/>
        <v>145</v>
      </c>
      <c r="M14" s="9">
        <f t="shared" si="1"/>
        <v>8.2758620689655178</v>
      </c>
      <c r="N14" s="6" t="str">
        <f t="shared" si="2"/>
        <v>Sufficient</v>
      </c>
    </row>
    <row r="15" spans="1:14" x14ac:dyDescent="0.35">
      <c r="A15" s="6">
        <v>14</v>
      </c>
      <c r="B15" s="7" t="s">
        <v>21</v>
      </c>
      <c r="C15" s="7" t="s">
        <v>138</v>
      </c>
      <c r="D15" s="7" t="s">
        <v>74</v>
      </c>
      <c r="E15" s="7" t="s">
        <v>17</v>
      </c>
      <c r="F15" s="6">
        <v>190</v>
      </c>
      <c r="G15" s="6">
        <v>130</v>
      </c>
      <c r="H15" s="6">
        <v>155</v>
      </c>
      <c r="I15" s="6">
        <v>700</v>
      </c>
      <c r="J15" s="6">
        <v>65</v>
      </c>
      <c r="K15" s="6">
        <v>4</v>
      </c>
      <c r="L15" s="6">
        <f t="shared" si="0"/>
        <v>165</v>
      </c>
      <c r="M15" s="9">
        <f t="shared" si="1"/>
        <v>4.2424242424242422</v>
      </c>
      <c r="N15" s="6" t="str">
        <f t="shared" si="2"/>
        <v>Sufficient</v>
      </c>
    </row>
    <row r="16" spans="1:14" x14ac:dyDescent="0.35">
      <c r="A16" s="6">
        <v>15</v>
      </c>
      <c r="B16" s="7" t="s">
        <v>23</v>
      </c>
      <c r="C16" s="7" t="s">
        <v>137</v>
      </c>
      <c r="D16" s="7" t="s">
        <v>75</v>
      </c>
      <c r="E16" s="7" t="s">
        <v>17</v>
      </c>
      <c r="F16" s="6">
        <v>75</v>
      </c>
      <c r="G16" s="6">
        <v>55</v>
      </c>
      <c r="H16" s="6">
        <v>60</v>
      </c>
      <c r="I16" s="6">
        <v>12000</v>
      </c>
      <c r="J16" s="6">
        <v>30</v>
      </c>
      <c r="K16" s="6">
        <v>8</v>
      </c>
      <c r="L16" s="6">
        <f t="shared" si="0"/>
        <v>70</v>
      </c>
      <c r="M16" s="9">
        <f t="shared" si="1"/>
        <v>171.42857142857142</v>
      </c>
      <c r="N16" s="6" t="str">
        <f t="shared" si="2"/>
        <v>Sufficient</v>
      </c>
    </row>
    <row r="17" spans="1:14" x14ac:dyDescent="0.35">
      <c r="A17" s="6">
        <v>16</v>
      </c>
      <c r="B17" s="7" t="s">
        <v>26</v>
      </c>
      <c r="C17" s="7" t="s">
        <v>138</v>
      </c>
      <c r="D17" s="7" t="s">
        <v>139</v>
      </c>
      <c r="E17" s="7" t="s">
        <v>17</v>
      </c>
      <c r="F17" s="6">
        <v>145</v>
      </c>
      <c r="G17" s="6">
        <v>100</v>
      </c>
      <c r="H17" s="6">
        <v>115</v>
      </c>
      <c r="I17" s="6">
        <v>1800</v>
      </c>
      <c r="J17" s="6">
        <v>50</v>
      </c>
      <c r="K17" s="6">
        <v>5</v>
      </c>
      <c r="L17" s="6">
        <f t="shared" si="0"/>
        <v>130</v>
      </c>
      <c r="M17" s="9">
        <f t="shared" si="1"/>
        <v>13.846153846153847</v>
      </c>
      <c r="N17" s="6" t="str">
        <f t="shared" si="2"/>
        <v>Sufficient</v>
      </c>
    </row>
    <row r="18" spans="1:14" x14ac:dyDescent="0.35">
      <c r="A18" s="6">
        <v>17</v>
      </c>
      <c r="B18" s="7" t="s">
        <v>8</v>
      </c>
      <c r="C18" s="7" t="s">
        <v>137</v>
      </c>
      <c r="D18" s="7" t="s">
        <v>19</v>
      </c>
      <c r="E18" s="7" t="s">
        <v>20</v>
      </c>
      <c r="F18" s="6">
        <v>160</v>
      </c>
      <c r="G18" s="6">
        <v>120</v>
      </c>
      <c r="H18" s="6">
        <v>135</v>
      </c>
      <c r="I18" s="6">
        <v>45000</v>
      </c>
      <c r="J18" s="6">
        <v>60</v>
      </c>
      <c r="K18" s="6">
        <v>7</v>
      </c>
      <c r="L18" s="6">
        <f t="shared" si="0"/>
        <v>145</v>
      </c>
      <c r="M18" s="9">
        <f t="shared" si="1"/>
        <v>310.34482758620692</v>
      </c>
      <c r="N18" s="6" t="str">
        <f t="shared" si="2"/>
        <v>Sufficient</v>
      </c>
    </row>
    <row r="19" spans="1:14" x14ac:dyDescent="0.35">
      <c r="A19" s="6">
        <v>18</v>
      </c>
      <c r="B19" s="7" t="s">
        <v>11</v>
      </c>
      <c r="C19" s="7" t="s">
        <v>137</v>
      </c>
      <c r="D19" s="7" t="s">
        <v>22</v>
      </c>
      <c r="E19" s="7" t="s">
        <v>20</v>
      </c>
      <c r="F19" s="6">
        <v>250</v>
      </c>
      <c r="G19" s="6">
        <v>200</v>
      </c>
      <c r="H19" s="6">
        <v>215</v>
      </c>
      <c r="I19" s="6">
        <v>18000</v>
      </c>
      <c r="J19" s="6">
        <v>80</v>
      </c>
      <c r="K19" s="6">
        <v>5</v>
      </c>
      <c r="L19" s="6">
        <f t="shared" si="0"/>
        <v>235</v>
      </c>
      <c r="M19" s="9">
        <f t="shared" si="1"/>
        <v>76.59574468085107</v>
      </c>
      <c r="N19" s="6" t="str">
        <f t="shared" si="2"/>
        <v>Sufficient</v>
      </c>
    </row>
    <row r="20" spans="1:14" x14ac:dyDescent="0.35">
      <c r="A20" s="6">
        <v>19</v>
      </c>
      <c r="B20" s="7" t="s">
        <v>13</v>
      </c>
      <c r="C20" s="7" t="s">
        <v>137</v>
      </c>
      <c r="D20" s="7" t="s">
        <v>36</v>
      </c>
      <c r="E20" s="7" t="s">
        <v>20</v>
      </c>
      <c r="F20" s="6">
        <v>125</v>
      </c>
      <c r="G20" s="6">
        <v>100</v>
      </c>
      <c r="H20" s="6">
        <v>105</v>
      </c>
      <c r="I20" s="6">
        <v>22000</v>
      </c>
      <c r="J20" s="6">
        <v>45</v>
      </c>
      <c r="K20" s="6">
        <v>6</v>
      </c>
      <c r="L20" s="6">
        <f t="shared" si="0"/>
        <v>120</v>
      </c>
      <c r="M20" s="9">
        <f t="shared" si="1"/>
        <v>183.33333333333334</v>
      </c>
      <c r="N20" s="6" t="str">
        <f t="shared" si="2"/>
        <v>Sufficient</v>
      </c>
    </row>
    <row r="21" spans="1:14" x14ac:dyDescent="0.35">
      <c r="A21" s="6">
        <v>20</v>
      </c>
      <c r="B21" s="7" t="s">
        <v>15</v>
      </c>
      <c r="C21" s="7" t="s">
        <v>137</v>
      </c>
      <c r="D21" s="7" t="s">
        <v>37</v>
      </c>
      <c r="E21" s="7" t="s">
        <v>20</v>
      </c>
      <c r="F21" s="6">
        <v>100</v>
      </c>
      <c r="G21" s="6">
        <v>80</v>
      </c>
      <c r="H21" s="6">
        <v>85</v>
      </c>
      <c r="I21" s="6">
        <v>14000</v>
      </c>
      <c r="J21" s="6">
        <v>40</v>
      </c>
      <c r="K21" s="6">
        <v>7</v>
      </c>
      <c r="L21" s="6">
        <f t="shared" si="0"/>
        <v>95</v>
      </c>
      <c r="M21" s="9">
        <f t="shared" si="1"/>
        <v>147.36842105263159</v>
      </c>
      <c r="N21" s="6" t="str">
        <f t="shared" si="2"/>
        <v>Sufficient</v>
      </c>
    </row>
    <row r="22" spans="1:14" x14ac:dyDescent="0.35">
      <c r="A22" s="6">
        <v>21</v>
      </c>
      <c r="B22" s="7" t="s">
        <v>18</v>
      </c>
      <c r="C22" s="7" t="s">
        <v>138</v>
      </c>
      <c r="D22" s="7" t="s">
        <v>19</v>
      </c>
      <c r="E22" s="7" t="s">
        <v>20</v>
      </c>
      <c r="F22" s="6">
        <v>180</v>
      </c>
      <c r="G22" s="6">
        <v>140</v>
      </c>
      <c r="H22" s="6">
        <v>150</v>
      </c>
      <c r="I22" s="6">
        <v>1200</v>
      </c>
      <c r="J22" s="6">
        <v>65</v>
      </c>
      <c r="K22" s="6">
        <v>4</v>
      </c>
      <c r="L22" s="6">
        <f t="shared" si="0"/>
        <v>170</v>
      </c>
      <c r="M22" s="9">
        <f t="shared" si="1"/>
        <v>7.0588235294117645</v>
      </c>
      <c r="N22" s="6" t="str">
        <f t="shared" si="2"/>
        <v>Sufficient</v>
      </c>
    </row>
    <row r="23" spans="1:14" x14ac:dyDescent="0.35">
      <c r="A23" s="6">
        <v>22</v>
      </c>
      <c r="B23" s="7" t="s">
        <v>21</v>
      </c>
      <c r="C23" s="7" t="s">
        <v>138</v>
      </c>
      <c r="D23" s="7" t="s">
        <v>22</v>
      </c>
      <c r="E23" s="7" t="s">
        <v>20</v>
      </c>
      <c r="F23" s="6">
        <v>210</v>
      </c>
      <c r="G23" s="6">
        <v>160</v>
      </c>
      <c r="H23" s="6">
        <v>175</v>
      </c>
      <c r="I23" s="6">
        <v>700</v>
      </c>
      <c r="J23" s="6">
        <v>70</v>
      </c>
      <c r="K23" s="6">
        <v>4</v>
      </c>
      <c r="L23" s="6">
        <f t="shared" si="0"/>
        <v>195</v>
      </c>
      <c r="M23" s="9">
        <f t="shared" si="1"/>
        <v>3.5897435897435899</v>
      </c>
      <c r="N23" s="6" t="str">
        <f t="shared" si="2"/>
        <v>Sufficient</v>
      </c>
    </row>
    <row r="24" spans="1:14" x14ac:dyDescent="0.35">
      <c r="A24" s="6">
        <v>23</v>
      </c>
      <c r="B24" s="7" t="s">
        <v>23</v>
      </c>
      <c r="C24" s="7" t="s">
        <v>137</v>
      </c>
      <c r="D24" s="7" t="s">
        <v>36</v>
      </c>
      <c r="E24" s="7" t="s">
        <v>20</v>
      </c>
      <c r="F24" s="6">
        <v>85</v>
      </c>
      <c r="G24" s="6">
        <v>65</v>
      </c>
      <c r="H24" s="6">
        <v>70</v>
      </c>
      <c r="I24" s="6">
        <v>12000</v>
      </c>
      <c r="J24" s="6">
        <v>30</v>
      </c>
      <c r="K24" s="6">
        <v>8</v>
      </c>
      <c r="L24" s="6">
        <f t="shared" si="0"/>
        <v>80</v>
      </c>
      <c r="M24" s="9">
        <f t="shared" si="1"/>
        <v>150</v>
      </c>
      <c r="N24" s="6" t="str">
        <f t="shared" si="2"/>
        <v>Sufficient</v>
      </c>
    </row>
    <row r="25" spans="1:14" x14ac:dyDescent="0.35">
      <c r="A25" s="6">
        <v>24</v>
      </c>
      <c r="B25" s="7" t="s">
        <v>26</v>
      </c>
      <c r="C25" s="7" t="s">
        <v>138</v>
      </c>
      <c r="D25" s="7" t="s">
        <v>37</v>
      </c>
      <c r="E25" s="7" t="s">
        <v>20</v>
      </c>
      <c r="F25" s="6">
        <v>155</v>
      </c>
      <c r="G25" s="6">
        <v>120</v>
      </c>
      <c r="H25" s="6">
        <v>135</v>
      </c>
      <c r="I25" s="6">
        <v>1800</v>
      </c>
      <c r="J25" s="6">
        <v>55</v>
      </c>
      <c r="K25" s="6">
        <v>5</v>
      </c>
      <c r="L25" s="6">
        <f t="shared" si="0"/>
        <v>140</v>
      </c>
      <c r="M25" s="9">
        <f t="shared" si="1"/>
        <v>12.857142857142858</v>
      </c>
      <c r="N25" s="6" t="str">
        <f t="shared" si="2"/>
        <v>Sufficient</v>
      </c>
    </row>
    <row r="26" spans="1:14" x14ac:dyDescent="0.35">
      <c r="A26" s="6">
        <v>25</v>
      </c>
      <c r="B26" s="7" t="s">
        <v>8</v>
      </c>
      <c r="C26" s="7" t="s">
        <v>137</v>
      </c>
      <c r="D26" s="7" t="s">
        <v>24</v>
      </c>
      <c r="E26" s="7" t="s">
        <v>25</v>
      </c>
      <c r="F26" s="6">
        <v>130</v>
      </c>
      <c r="G26" s="6">
        <v>90</v>
      </c>
      <c r="H26" s="6">
        <v>100</v>
      </c>
      <c r="I26" s="6">
        <v>45000</v>
      </c>
      <c r="J26" s="6">
        <v>50</v>
      </c>
      <c r="K26" s="6">
        <v>7</v>
      </c>
      <c r="L26" s="6">
        <f t="shared" si="0"/>
        <v>120</v>
      </c>
      <c r="M26" s="9">
        <f t="shared" si="1"/>
        <v>375</v>
      </c>
      <c r="N26" s="6" t="str">
        <f t="shared" si="2"/>
        <v>Sufficient</v>
      </c>
    </row>
    <row r="27" spans="1:14" x14ac:dyDescent="0.35">
      <c r="A27" s="6">
        <v>26</v>
      </c>
      <c r="B27" s="7" t="s">
        <v>11</v>
      </c>
      <c r="C27" s="7" t="s">
        <v>137</v>
      </c>
      <c r="D27" s="7" t="s">
        <v>27</v>
      </c>
      <c r="E27" s="7" t="s">
        <v>25</v>
      </c>
      <c r="F27" s="6">
        <v>210</v>
      </c>
      <c r="G27" s="6">
        <v>160</v>
      </c>
      <c r="H27" s="6">
        <v>180</v>
      </c>
      <c r="I27" s="6">
        <v>18000</v>
      </c>
      <c r="J27" s="6">
        <v>75</v>
      </c>
      <c r="K27" s="6">
        <v>5</v>
      </c>
      <c r="L27" s="6">
        <f t="shared" si="0"/>
        <v>190</v>
      </c>
      <c r="M27" s="9">
        <f t="shared" si="1"/>
        <v>94.736842105263165</v>
      </c>
      <c r="N27" s="6" t="str">
        <f t="shared" si="2"/>
        <v>Sufficient</v>
      </c>
    </row>
    <row r="28" spans="1:14" x14ac:dyDescent="0.35">
      <c r="A28" s="6">
        <v>27</v>
      </c>
      <c r="B28" s="7" t="s">
        <v>13</v>
      </c>
      <c r="C28" s="7" t="s">
        <v>137</v>
      </c>
      <c r="D28" s="7" t="s">
        <v>95</v>
      </c>
      <c r="E28" s="7" t="s">
        <v>25</v>
      </c>
      <c r="F28" s="6">
        <v>115</v>
      </c>
      <c r="G28" s="6">
        <v>85</v>
      </c>
      <c r="H28" s="6">
        <v>95</v>
      </c>
      <c r="I28" s="6">
        <v>22000</v>
      </c>
      <c r="J28" s="6">
        <v>40</v>
      </c>
      <c r="K28" s="6">
        <v>6</v>
      </c>
      <c r="L28" s="6">
        <f t="shared" si="0"/>
        <v>105</v>
      </c>
      <c r="M28" s="9">
        <f t="shared" si="1"/>
        <v>209.52380952380952</v>
      </c>
      <c r="N28" s="6" t="str">
        <f t="shared" si="2"/>
        <v>Sufficient</v>
      </c>
    </row>
    <row r="29" spans="1:14" x14ac:dyDescent="0.35">
      <c r="A29" s="6">
        <v>28</v>
      </c>
      <c r="B29" s="7" t="s">
        <v>15</v>
      </c>
      <c r="C29" s="7" t="s">
        <v>137</v>
      </c>
      <c r="D29" s="7" t="s">
        <v>96</v>
      </c>
      <c r="E29" s="7" t="s">
        <v>25</v>
      </c>
      <c r="F29" s="6">
        <v>90</v>
      </c>
      <c r="G29" s="6">
        <v>70</v>
      </c>
      <c r="H29" s="6">
        <v>75</v>
      </c>
      <c r="I29" s="6">
        <v>14000</v>
      </c>
      <c r="J29" s="6">
        <v>35</v>
      </c>
      <c r="K29" s="6">
        <v>7</v>
      </c>
      <c r="L29" s="6">
        <f t="shared" si="0"/>
        <v>85</v>
      </c>
      <c r="M29" s="9">
        <f t="shared" si="1"/>
        <v>164.70588235294119</v>
      </c>
      <c r="N29" s="6" t="str">
        <f t="shared" si="2"/>
        <v>Sufficient</v>
      </c>
    </row>
    <row r="30" spans="1:14" x14ac:dyDescent="0.35">
      <c r="A30" s="6">
        <v>29</v>
      </c>
      <c r="B30" s="7" t="s">
        <v>18</v>
      </c>
      <c r="C30" s="7" t="s">
        <v>138</v>
      </c>
      <c r="D30" s="7" t="s">
        <v>27</v>
      </c>
      <c r="E30" s="7" t="s">
        <v>25</v>
      </c>
      <c r="F30" s="6">
        <v>165</v>
      </c>
      <c r="G30" s="6">
        <v>110</v>
      </c>
      <c r="H30" s="6">
        <v>135</v>
      </c>
      <c r="I30" s="6">
        <v>1200</v>
      </c>
      <c r="J30" s="6">
        <v>55</v>
      </c>
      <c r="K30" s="6">
        <v>4</v>
      </c>
      <c r="L30" s="6">
        <f t="shared" si="0"/>
        <v>140</v>
      </c>
      <c r="M30" s="9">
        <f t="shared" si="1"/>
        <v>8.5714285714285712</v>
      </c>
      <c r="N30" s="6" t="str">
        <f t="shared" si="2"/>
        <v>Sufficient</v>
      </c>
    </row>
    <row r="31" spans="1:14" x14ac:dyDescent="0.35">
      <c r="A31" s="6">
        <v>30</v>
      </c>
      <c r="B31" s="7" t="s">
        <v>21</v>
      </c>
      <c r="C31" s="7" t="s">
        <v>138</v>
      </c>
      <c r="D31" s="7" t="s">
        <v>24</v>
      </c>
      <c r="E31" s="7" t="s">
        <v>25</v>
      </c>
      <c r="F31" s="6">
        <v>185</v>
      </c>
      <c r="G31" s="6">
        <v>125</v>
      </c>
      <c r="H31" s="6">
        <v>150</v>
      </c>
      <c r="I31" s="6">
        <v>700</v>
      </c>
      <c r="J31" s="6">
        <v>60</v>
      </c>
      <c r="K31" s="6">
        <v>4</v>
      </c>
      <c r="L31" s="6">
        <f t="shared" si="0"/>
        <v>160</v>
      </c>
      <c r="M31" s="9">
        <f t="shared" si="1"/>
        <v>4.375</v>
      </c>
      <c r="N31" s="6" t="str">
        <f t="shared" si="2"/>
        <v>Sufficient</v>
      </c>
    </row>
    <row r="32" spans="1:14" x14ac:dyDescent="0.35">
      <c r="A32" s="6">
        <v>31</v>
      </c>
      <c r="B32" s="7" t="s">
        <v>23</v>
      </c>
      <c r="C32" s="7" t="s">
        <v>137</v>
      </c>
      <c r="D32" s="7" t="s">
        <v>95</v>
      </c>
      <c r="E32" s="7" t="s">
        <v>25</v>
      </c>
      <c r="F32" s="6">
        <v>70</v>
      </c>
      <c r="G32" s="6">
        <v>50</v>
      </c>
      <c r="H32" s="6">
        <v>55</v>
      </c>
      <c r="I32" s="6">
        <v>12000</v>
      </c>
      <c r="J32" s="6">
        <v>25</v>
      </c>
      <c r="K32" s="6">
        <v>8</v>
      </c>
      <c r="L32" s="6">
        <f t="shared" si="0"/>
        <v>65</v>
      </c>
      <c r="M32" s="9">
        <f t="shared" si="1"/>
        <v>184.61538461538461</v>
      </c>
      <c r="N32" s="6" t="str">
        <f t="shared" si="2"/>
        <v>Sufficient</v>
      </c>
    </row>
    <row r="33" spans="1:14" x14ac:dyDescent="0.35">
      <c r="A33" s="6">
        <v>32</v>
      </c>
      <c r="B33" s="7" t="s">
        <v>26</v>
      </c>
      <c r="C33" s="7" t="s">
        <v>138</v>
      </c>
      <c r="D33" s="7" t="s">
        <v>96</v>
      </c>
      <c r="E33" s="7" t="s">
        <v>25</v>
      </c>
      <c r="F33" s="6">
        <v>140</v>
      </c>
      <c r="G33" s="6">
        <v>95</v>
      </c>
      <c r="H33" s="6">
        <v>110</v>
      </c>
      <c r="I33" s="6">
        <v>1800</v>
      </c>
      <c r="J33" s="6">
        <v>45</v>
      </c>
      <c r="K33" s="6">
        <v>5</v>
      </c>
      <c r="L33" s="6">
        <f t="shared" si="0"/>
        <v>125</v>
      </c>
      <c r="M33" s="9">
        <f t="shared" si="1"/>
        <v>14.4</v>
      </c>
      <c r="N33" s="6" t="str">
        <f t="shared" si="2"/>
        <v>Sufficient</v>
      </c>
    </row>
    <row r="34" spans="1:14" x14ac:dyDescent="0.35">
      <c r="A34" s="6">
        <v>33</v>
      </c>
      <c r="B34" s="7" t="s">
        <v>8</v>
      </c>
      <c r="C34" s="7" t="s">
        <v>137</v>
      </c>
      <c r="D34" s="7" t="s">
        <v>58</v>
      </c>
      <c r="E34" s="7" t="s">
        <v>59</v>
      </c>
      <c r="F34" s="6">
        <v>150</v>
      </c>
      <c r="G34" s="6">
        <v>110</v>
      </c>
      <c r="H34" s="6">
        <v>125</v>
      </c>
      <c r="I34" s="6">
        <v>45000</v>
      </c>
      <c r="J34" s="6">
        <v>55</v>
      </c>
      <c r="K34" s="6">
        <v>7</v>
      </c>
      <c r="L34" s="6">
        <f t="shared" ref="L34:L65" si="3">F34+G34-H34</f>
        <v>135</v>
      </c>
      <c r="M34" s="9">
        <f t="shared" ref="M34:M65" si="4">I34/L34</f>
        <v>333.33333333333331</v>
      </c>
      <c r="N34" s="6" t="str">
        <f t="shared" ref="N34:N65" si="5">IF(L34&lt;=J34, "Reorder", "Sufficient")</f>
        <v>Sufficient</v>
      </c>
    </row>
    <row r="35" spans="1:14" x14ac:dyDescent="0.35">
      <c r="A35" s="6">
        <v>34</v>
      </c>
      <c r="B35" s="7" t="s">
        <v>11</v>
      </c>
      <c r="C35" s="7" t="s">
        <v>137</v>
      </c>
      <c r="D35" s="7" t="s">
        <v>60</v>
      </c>
      <c r="E35" s="7" t="s">
        <v>59</v>
      </c>
      <c r="F35" s="6">
        <v>230</v>
      </c>
      <c r="G35" s="6">
        <v>170</v>
      </c>
      <c r="H35" s="6">
        <v>200</v>
      </c>
      <c r="I35" s="6">
        <v>18000</v>
      </c>
      <c r="J35" s="6">
        <v>80</v>
      </c>
      <c r="K35" s="6">
        <v>5</v>
      </c>
      <c r="L35" s="6">
        <f t="shared" si="3"/>
        <v>200</v>
      </c>
      <c r="M35" s="9">
        <f t="shared" si="4"/>
        <v>90</v>
      </c>
      <c r="N35" s="6" t="str">
        <f t="shared" si="5"/>
        <v>Sufficient</v>
      </c>
    </row>
    <row r="36" spans="1:14" x14ac:dyDescent="0.35">
      <c r="A36" s="6">
        <v>35</v>
      </c>
      <c r="B36" s="7" t="s">
        <v>13</v>
      </c>
      <c r="C36" s="7" t="s">
        <v>137</v>
      </c>
      <c r="D36" s="7" t="s">
        <v>110</v>
      </c>
      <c r="E36" s="7" t="s">
        <v>59</v>
      </c>
      <c r="F36" s="6">
        <v>120</v>
      </c>
      <c r="G36" s="6">
        <v>90</v>
      </c>
      <c r="H36" s="6">
        <v>100</v>
      </c>
      <c r="I36" s="6">
        <v>22000</v>
      </c>
      <c r="J36" s="6">
        <v>45</v>
      </c>
      <c r="K36" s="6">
        <v>6</v>
      </c>
      <c r="L36" s="6">
        <f t="shared" si="3"/>
        <v>110</v>
      </c>
      <c r="M36" s="9">
        <f t="shared" si="4"/>
        <v>200</v>
      </c>
      <c r="N36" s="6" t="str">
        <f t="shared" si="5"/>
        <v>Sufficient</v>
      </c>
    </row>
    <row r="37" spans="1:14" x14ac:dyDescent="0.35">
      <c r="A37" s="6">
        <v>36</v>
      </c>
      <c r="B37" s="7" t="s">
        <v>15</v>
      </c>
      <c r="C37" s="7" t="s">
        <v>137</v>
      </c>
      <c r="D37" s="7" t="s">
        <v>58</v>
      </c>
      <c r="E37" s="7" t="s">
        <v>59</v>
      </c>
      <c r="F37" s="6">
        <v>105</v>
      </c>
      <c r="G37" s="6">
        <v>75</v>
      </c>
      <c r="H37" s="6">
        <v>85</v>
      </c>
      <c r="I37" s="6">
        <v>14000</v>
      </c>
      <c r="J37" s="6">
        <v>40</v>
      </c>
      <c r="K37" s="6">
        <v>7</v>
      </c>
      <c r="L37" s="6">
        <f t="shared" si="3"/>
        <v>95</v>
      </c>
      <c r="M37" s="9">
        <f t="shared" si="4"/>
        <v>147.36842105263159</v>
      </c>
      <c r="N37" s="6" t="str">
        <f t="shared" si="5"/>
        <v>Sufficient</v>
      </c>
    </row>
    <row r="38" spans="1:14" x14ac:dyDescent="0.35">
      <c r="A38" s="6">
        <v>37</v>
      </c>
      <c r="B38" s="7" t="s">
        <v>18</v>
      </c>
      <c r="C38" s="7" t="s">
        <v>138</v>
      </c>
      <c r="D38" s="7" t="s">
        <v>60</v>
      </c>
      <c r="E38" s="7" t="s">
        <v>59</v>
      </c>
      <c r="F38" s="6">
        <v>175</v>
      </c>
      <c r="G38" s="6">
        <v>130</v>
      </c>
      <c r="H38" s="6">
        <v>150</v>
      </c>
      <c r="I38" s="6">
        <v>1200</v>
      </c>
      <c r="J38" s="6">
        <v>60</v>
      </c>
      <c r="K38" s="6">
        <v>4</v>
      </c>
      <c r="L38" s="6">
        <f t="shared" si="3"/>
        <v>155</v>
      </c>
      <c r="M38" s="9">
        <f t="shared" si="4"/>
        <v>7.741935483870968</v>
      </c>
      <c r="N38" s="6" t="str">
        <f t="shared" si="5"/>
        <v>Sufficient</v>
      </c>
    </row>
    <row r="39" spans="1:14" x14ac:dyDescent="0.35">
      <c r="A39" s="6">
        <v>38</v>
      </c>
      <c r="B39" s="7" t="s">
        <v>21</v>
      </c>
      <c r="C39" s="7" t="s">
        <v>138</v>
      </c>
      <c r="D39" s="7" t="s">
        <v>110</v>
      </c>
      <c r="E39" s="7" t="s">
        <v>59</v>
      </c>
      <c r="F39" s="6">
        <v>195</v>
      </c>
      <c r="G39" s="6">
        <v>140</v>
      </c>
      <c r="H39" s="6">
        <v>165</v>
      </c>
      <c r="I39" s="6">
        <v>700</v>
      </c>
      <c r="J39" s="6">
        <v>65</v>
      </c>
      <c r="K39" s="6">
        <v>4</v>
      </c>
      <c r="L39" s="6">
        <f t="shared" si="3"/>
        <v>170</v>
      </c>
      <c r="M39" s="9">
        <f t="shared" si="4"/>
        <v>4.117647058823529</v>
      </c>
      <c r="N39" s="6" t="str">
        <f t="shared" si="5"/>
        <v>Sufficient</v>
      </c>
    </row>
    <row r="40" spans="1:14" x14ac:dyDescent="0.35">
      <c r="A40" s="6">
        <v>39</v>
      </c>
      <c r="B40" s="7" t="s">
        <v>23</v>
      </c>
      <c r="C40" s="7" t="s">
        <v>137</v>
      </c>
      <c r="D40" s="7" t="s">
        <v>58</v>
      </c>
      <c r="E40" s="7" t="s">
        <v>59</v>
      </c>
      <c r="F40" s="6">
        <v>80</v>
      </c>
      <c r="G40" s="6">
        <v>60</v>
      </c>
      <c r="H40" s="6">
        <v>65</v>
      </c>
      <c r="I40" s="6">
        <v>12000</v>
      </c>
      <c r="J40" s="6">
        <v>30</v>
      </c>
      <c r="K40" s="6">
        <v>8</v>
      </c>
      <c r="L40" s="6">
        <f t="shared" si="3"/>
        <v>75</v>
      </c>
      <c r="M40" s="9">
        <f t="shared" si="4"/>
        <v>160</v>
      </c>
      <c r="N40" s="6" t="str">
        <f t="shared" si="5"/>
        <v>Sufficient</v>
      </c>
    </row>
    <row r="41" spans="1:14" x14ac:dyDescent="0.35">
      <c r="A41" s="6">
        <v>40</v>
      </c>
      <c r="B41" s="7" t="s">
        <v>26</v>
      </c>
      <c r="C41" s="7" t="s">
        <v>138</v>
      </c>
      <c r="D41" s="7" t="s">
        <v>60</v>
      </c>
      <c r="E41" s="7" t="s">
        <v>59</v>
      </c>
      <c r="F41" s="6">
        <v>150</v>
      </c>
      <c r="G41" s="6">
        <v>105</v>
      </c>
      <c r="H41" s="6">
        <v>125</v>
      </c>
      <c r="I41" s="6">
        <v>1800</v>
      </c>
      <c r="J41" s="6">
        <v>50</v>
      </c>
      <c r="K41" s="6">
        <v>5</v>
      </c>
      <c r="L41" s="6">
        <f t="shared" si="3"/>
        <v>130</v>
      </c>
      <c r="M41" s="9">
        <f t="shared" si="4"/>
        <v>13.846153846153847</v>
      </c>
      <c r="N41" s="6" t="str">
        <f t="shared" si="5"/>
        <v>Sufficient</v>
      </c>
    </row>
    <row r="42" spans="1:14" x14ac:dyDescent="0.35">
      <c r="A42" s="6">
        <v>41</v>
      </c>
      <c r="B42" s="7" t="s">
        <v>8</v>
      </c>
      <c r="C42" s="7" t="s">
        <v>137</v>
      </c>
      <c r="D42" s="7" t="s">
        <v>61</v>
      </c>
      <c r="E42" s="7" t="s">
        <v>62</v>
      </c>
      <c r="F42" s="6">
        <v>135</v>
      </c>
      <c r="G42" s="6">
        <v>100</v>
      </c>
      <c r="H42" s="6">
        <v>110</v>
      </c>
      <c r="I42" s="6">
        <v>45000</v>
      </c>
      <c r="J42" s="6">
        <v>50</v>
      </c>
      <c r="K42" s="6">
        <v>7</v>
      </c>
      <c r="L42" s="6">
        <f t="shared" si="3"/>
        <v>125</v>
      </c>
      <c r="M42" s="9">
        <f t="shared" si="4"/>
        <v>360</v>
      </c>
      <c r="N42" s="6" t="str">
        <f t="shared" si="5"/>
        <v>Sufficient</v>
      </c>
    </row>
    <row r="43" spans="1:14" x14ac:dyDescent="0.35">
      <c r="A43" s="6">
        <v>42</v>
      </c>
      <c r="B43" s="7" t="s">
        <v>11</v>
      </c>
      <c r="C43" s="7" t="s">
        <v>137</v>
      </c>
      <c r="D43" s="7" t="s">
        <v>63</v>
      </c>
      <c r="E43" s="7" t="s">
        <v>62</v>
      </c>
      <c r="F43" s="6">
        <v>215</v>
      </c>
      <c r="G43" s="6">
        <v>170</v>
      </c>
      <c r="H43" s="6">
        <v>185</v>
      </c>
      <c r="I43" s="6">
        <v>18000</v>
      </c>
      <c r="J43" s="6">
        <v>75</v>
      </c>
      <c r="K43" s="6">
        <v>5</v>
      </c>
      <c r="L43" s="6">
        <f t="shared" si="3"/>
        <v>200</v>
      </c>
      <c r="M43" s="9">
        <f t="shared" si="4"/>
        <v>90</v>
      </c>
      <c r="N43" s="6" t="str">
        <f t="shared" si="5"/>
        <v>Sufficient</v>
      </c>
    </row>
    <row r="44" spans="1:14" x14ac:dyDescent="0.35">
      <c r="A44" s="6">
        <v>43</v>
      </c>
      <c r="B44" s="7" t="s">
        <v>13</v>
      </c>
      <c r="C44" s="7" t="s">
        <v>137</v>
      </c>
      <c r="D44" s="7" t="s">
        <v>61</v>
      </c>
      <c r="E44" s="7" t="s">
        <v>62</v>
      </c>
      <c r="F44" s="6">
        <v>105</v>
      </c>
      <c r="G44" s="6">
        <v>80</v>
      </c>
      <c r="H44" s="6">
        <v>90</v>
      </c>
      <c r="I44" s="6">
        <v>22000</v>
      </c>
      <c r="J44" s="6">
        <v>40</v>
      </c>
      <c r="K44" s="6">
        <v>6</v>
      </c>
      <c r="L44" s="6">
        <f t="shared" si="3"/>
        <v>95</v>
      </c>
      <c r="M44" s="9">
        <f t="shared" si="4"/>
        <v>231.57894736842104</v>
      </c>
      <c r="N44" s="6" t="str">
        <f t="shared" si="5"/>
        <v>Sufficient</v>
      </c>
    </row>
    <row r="45" spans="1:14" x14ac:dyDescent="0.35">
      <c r="A45" s="6">
        <v>44</v>
      </c>
      <c r="B45" s="7" t="s">
        <v>15</v>
      </c>
      <c r="C45" s="7" t="s">
        <v>137</v>
      </c>
      <c r="D45" s="7" t="s">
        <v>63</v>
      </c>
      <c r="E45" s="7" t="s">
        <v>62</v>
      </c>
      <c r="F45" s="6">
        <v>85</v>
      </c>
      <c r="G45" s="6">
        <v>65</v>
      </c>
      <c r="H45" s="6">
        <v>70</v>
      </c>
      <c r="I45" s="6">
        <v>14000</v>
      </c>
      <c r="J45" s="6">
        <v>35</v>
      </c>
      <c r="K45" s="6">
        <v>7</v>
      </c>
      <c r="L45" s="6">
        <f t="shared" si="3"/>
        <v>80</v>
      </c>
      <c r="M45" s="9">
        <f t="shared" si="4"/>
        <v>175</v>
      </c>
      <c r="N45" s="6" t="str">
        <f t="shared" si="5"/>
        <v>Sufficient</v>
      </c>
    </row>
    <row r="46" spans="1:14" x14ac:dyDescent="0.35">
      <c r="A46" s="6">
        <v>45</v>
      </c>
      <c r="B46" s="7" t="s">
        <v>18</v>
      </c>
      <c r="C46" s="7" t="s">
        <v>138</v>
      </c>
      <c r="D46" s="7" t="s">
        <v>61</v>
      </c>
      <c r="E46" s="7" t="s">
        <v>62</v>
      </c>
      <c r="F46" s="6">
        <v>160</v>
      </c>
      <c r="G46" s="6">
        <v>115</v>
      </c>
      <c r="H46" s="6">
        <v>135</v>
      </c>
      <c r="I46" s="6">
        <v>1200</v>
      </c>
      <c r="J46" s="6">
        <v>55</v>
      </c>
      <c r="K46" s="6">
        <v>4</v>
      </c>
      <c r="L46" s="6">
        <f t="shared" si="3"/>
        <v>140</v>
      </c>
      <c r="M46" s="9">
        <f t="shared" si="4"/>
        <v>8.5714285714285712</v>
      </c>
      <c r="N46" s="6" t="str">
        <f t="shared" si="5"/>
        <v>Sufficient</v>
      </c>
    </row>
    <row r="47" spans="1:14" x14ac:dyDescent="0.35">
      <c r="A47" s="6">
        <v>46</v>
      </c>
      <c r="B47" s="7" t="s">
        <v>21</v>
      </c>
      <c r="C47" s="7" t="s">
        <v>138</v>
      </c>
      <c r="D47" s="7" t="s">
        <v>63</v>
      </c>
      <c r="E47" s="7" t="s">
        <v>62</v>
      </c>
      <c r="F47" s="6">
        <v>175</v>
      </c>
      <c r="G47" s="6">
        <v>120</v>
      </c>
      <c r="H47" s="6">
        <v>145</v>
      </c>
      <c r="I47" s="6">
        <v>700</v>
      </c>
      <c r="J47" s="6">
        <v>60</v>
      </c>
      <c r="K47" s="6">
        <v>4</v>
      </c>
      <c r="L47" s="6">
        <f t="shared" si="3"/>
        <v>150</v>
      </c>
      <c r="M47" s="9">
        <f t="shared" si="4"/>
        <v>4.666666666666667</v>
      </c>
      <c r="N47" s="6" t="str">
        <f t="shared" si="5"/>
        <v>Sufficient</v>
      </c>
    </row>
    <row r="48" spans="1:14" x14ac:dyDescent="0.35">
      <c r="A48" s="6">
        <v>47</v>
      </c>
      <c r="B48" s="7" t="s">
        <v>23</v>
      </c>
      <c r="C48" s="7" t="s">
        <v>137</v>
      </c>
      <c r="D48" s="7" t="s">
        <v>61</v>
      </c>
      <c r="E48" s="7" t="s">
        <v>62</v>
      </c>
      <c r="F48" s="6">
        <v>75</v>
      </c>
      <c r="G48" s="6">
        <v>55</v>
      </c>
      <c r="H48" s="6">
        <v>60</v>
      </c>
      <c r="I48" s="6">
        <v>12000</v>
      </c>
      <c r="J48" s="6">
        <v>30</v>
      </c>
      <c r="K48" s="6">
        <v>8</v>
      </c>
      <c r="L48" s="6">
        <f t="shared" si="3"/>
        <v>70</v>
      </c>
      <c r="M48" s="9">
        <f t="shared" si="4"/>
        <v>171.42857142857142</v>
      </c>
      <c r="N48" s="6" t="str">
        <f t="shared" si="5"/>
        <v>Sufficient</v>
      </c>
    </row>
    <row r="49" spans="1:14" x14ac:dyDescent="0.35">
      <c r="A49" s="6">
        <v>48</v>
      </c>
      <c r="B49" s="7" t="s">
        <v>26</v>
      </c>
      <c r="C49" s="7" t="s">
        <v>138</v>
      </c>
      <c r="D49" s="7" t="s">
        <v>63</v>
      </c>
      <c r="E49" s="7" t="s">
        <v>62</v>
      </c>
      <c r="F49" s="6">
        <v>135</v>
      </c>
      <c r="G49" s="6">
        <v>100</v>
      </c>
      <c r="H49" s="6">
        <v>115</v>
      </c>
      <c r="I49" s="6">
        <v>1800</v>
      </c>
      <c r="J49" s="6">
        <v>45</v>
      </c>
      <c r="K49" s="6">
        <v>5</v>
      </c>
      <c r="L49" s="6">
        <f t="shared" si="3"/>
        <v>120</v>
      </c>
      <c r="M49" s="9">
        <f t="shared" si="4"/>
        <v>15</v>
      </c>
      <c r="N49" s="6" t="str">
        <f t="shared" si="5"/>
        <v>Sufficient</v>
      </c>
    </row>
    <row r="50" spans="1:14" x14ac:dyDescent="0.35">
      <c r="A50" s="6">
        <v>49</v>
      </c>
      <c r="B50" s="7" t="s">
        <v>8</v>
      </c>
      <c r="C50" s="7" t="s">
        <v>137</v>
      </c>
      <c r="D50" s="7" t="s">
        <v>64</v>
      </c>
      <c r="E50" s="7" t="s">
        <v>65</v>
      </c>
      <c r="F50" s="6">
        <v>155</v>
      </c>
      <c r="G50" s="6">
        <v>115</v>
      </c>
      <c r="H50" s="6">
        <v>130</v>
      </c>
      <c r="I50" s="6">
        <v>45000</v>
      </c>
      <c r="J50" s="6">
        <v>55</v>
      </c>
      <c r="K50" s="6">
        <v>7</v>
      </c>
      <c r="L50" s="6">
        <f t="shared" si="3"/>
        <v>140</v>
      </c>
      <c r="M50" s="9">
        <f t="shared" si="4"/>
        <v>321.42857142857144</v>
      </c>
      <c r="N50" s="6" t="str">
        <f t="shared" si="5"/>
        <v>Sufficient</v>
      </c>
    </row>
    <row r="51" spans="1:14" x14ac:dyDescent="0.35">
      <c r="A51" s="6">
        <v>50</v>
      </c>
      <c r="B51" s="7" t="s">
        <v>11</v>
      </c>
      <c r="C51" s="7" t="s">
        <v>137</v>
      </c>
      <c r="D51" s="7" t="s">
        <v>66</v>
      </c>
      <c r="E51" s="7" t="s">
        <v>65</v>
      </c>
      <c r="F51" s="6">
        <v>240</v>
      </c>
      <c r="G51" s="6">
        <v>190</v>
      </c>
      <c r="H51" s="6">
        <v>210</v>
      </c>
      <c r="I51" s="6">
        <v>18000</v>
      </c>
      <c r="J51" s="6">
        <v>85</v>
      </c>
      <c r="K51" s="6">
        <v>5</v>
      </c>
      <c r="L51" s="6">
        <f t="shared" si="3"/>
        <v>220</v>
      </c>
      <c r="M51" s="9">
        <f t="shared" si="4"/>
        <v>81.818181818181813</v>
      </c>
      <c r="N51" s="6" t="str">
        <f t="shared" si="5"/>
        <v>Sufficient</v>
      </c>
    </row>
    <row r="52" spans="1:14" x14ac:dyDescent="0.35">
      <c r="A52" s="6">
        <v>51</v>
      </c>
      <c r="B52" s="7" t="s">
        <v>13</v>
      </c>
      <c r="C52" s="7" t="s">
        <v>137</v>
      </c>
      <c r="D52" s="7" t="s">
        <v>64</v>
      </c>
      <c r="E52" s="7" t="s">
        <v>65</v>
      </c>
      <c r="F52" s="6">
        <v>115</v>
      </c>
      <c r="G52" s="6">
        <v>90</v>
      </c>
      <c r="H52" s="6">
        <v>100</v>
      </c>
      <c r="I52" s="6">
        <v>22000</v>
      </c>
      <c r="J52" s="6">
        <v>45</v>
      </c>
      <c r="K52" s="6">
        <v>6</v>
      </c>
      <c r="L52" s="6">
        <f t="shared" si="3"/>
        <v>105</v>
      </c>
      <c r="M52" s="9">
        <f t="shared" si="4"/>
        <v>209.52380952380952</v>
      </c>
      <c r="N52" s="6" t="str">
        <f t="shared" si="5"/>
        <v>Sufficient</v>
      </c>
    </row>
    <row r="53" spans="1:14" x14ac:dyDescent="0.35">
      <c r="A53" s="6">
        <v>52</v>
      </c>
      <c r="B53" s="7" t="s">
        <v>15</v>
      </c>
      <c r="C53" s="7" t="s">
        <v>137</v>
      </c>
      <c r="D53" s="7" t="s">
        <v>112</v>
      </c>
      <c r="E53" s="7" t="s">
        <v>65</v>
      </c>
      <c r="F53" s="6">
        <v>100</v>
      </c>
      <c r="G53" s="6">
        <v>75</v>
      </c>
      <c r="H53" s="6">
        <v>80</v>
      </c>
      <c r="I53" s="6">
        <v>14000</v>
      </c>
      <c r="J53" s="6">
        <v>40</v>
      </c>
      <c r="K53" s="6">
        <v>7</v>
      </c>
      <c r="L53" s="6">
        <f t="shared" si="3"/>
        <v>95</v>
      </c>
      <c r="M53" s="9">
        <f t="shared" si="4"/>
        <v>147.36842105263159</v>
      </c>
      <c r="N53" s="6" t="str">
        <f t="shared" si="5"/>
        <v>Sufficient</v>
      </c>
    </row>
    <row r="54" spans="1:14" x14ac:dyDescent="0.35">
      <c r="A54" s="6">
        <v>53</v>
      </c>
      <c r="B54" s="7" t="s">
        <v>18</v>
      </c>
      <c r="C54" s="7" t="s">
        <v>138</v>
      </c>
      <c r="D54" s="7" t="s">
        <v>64</v>
      </c>
      <c r="E54" s="7" t="s">
        <v>65</v>
      </c>
      <c r="F54" s="6">
        <v>180</v>
      </c>
      <c r="G54" s="6">
        <v>130</v>
      </c>
      <c r="H54" s="6">
        <v>155</v>
      </c>
      <c r="I54" s="6">
        <v>1200</v>
      </c>
      <c r="J54" s="6">
        <v>60</v>
      </c>
      <c r="K54" s="6">
        <v>4</v>
      </c>
      <c r="L54" s="6">
        <f t="shared" si="3"/>
        <v>155</v>
      </c>
      <c r="M54" s="9">
        <f t="shared" si="4"/>
        <v>7.741935483870968</v>
      </c>
      <c r="N54" s="6" t="str">
        <f t="shared" si="5"/>
        <v>Sufficient</v>
      </c>
    </row>
    <row r="55" spans="1:14" x14ac:dyDescent="0.35">
      <c r="A55" s="6">
        <v>54</v>
      </c>
      <c r="B55" s="7" t="s">
        <v>21</v>
      </c>
      <c r="C55" s="7" t="s">
        <v>138</v>
      </c>
      <c r="D55" s="7" t="s">
        <v>66</v>
      </c>
      <c r="E55" s="7" t="s">
        <v>65</v>
      </c>
      <c r="F55" s="6">
        <v>200</v>
      </c>
      <c r="G55" s="6">
        <v>150</v>
      </c>
      <c r="H55" s="6">
        <v>170</v>
      </c>
      <c r="I55" s="6">
        <v>700</v>
      </c>
      <c r="J55" s="6">
        <v>70</v>
      </c>
      <c r="K55" s="6">
        <v>4</v>
      </c>
      <c r="L55" s="6">
        <f t="shared" si="3"/>
        <v>180</v>
      </c>
      <c r="M55" s="9">
        <f t="shared" si="4"/>
        <v>3.8888888888888888</v>
      </c>
      <c r="N55" s="6" t="str">
        <f t="shared" si="5"/>
        <v>Sufficient</v>
      </c>
    </row>
    <row r="56" spans="1:14" x14ac:dyDescent="0.35">
      <c r="A56" s="6">
        <v>55</v>
      </c>
      <c r="B56" s="7" t="s">
        <v>23</v>
      </c>
      <c r="C56" s="7" t="s">
        <v>137</v>
      </c>
      <c r="D56" s="7" t="s">
        <v>64</v>
      </c>
      <c r="E56" s="7" t="s">
        <v>65</v>
      </c>
      <c r="F56" s="6">
        <v>90</v>
      </c>
      <c r="G56" s="6">
        <v>65</v>
      </c>
      <c r="H56" s="6">
        <v>70</v>
      </c>
      <c r="I56" s="6">
        <v>12000</v>
      </c>
      <c r="J56" s="6">
        <v>30</v>
      </c>
      <c r="K56" s="6">
        <v>8</v>
      </c>
      <c r="L56" s="6">
        <f t="shared" si="3"/>
        <v>85</v>
      </c>
      <c r="M56" s="9">
        <f t="shared" si="4"/>
        <v>141.1764705882353</v>
      </c>
      <c r="N56" s="6" t="str">
        <f t="shared" si="5"/>
        <v>Sufficient</v>
      </c>
    </row>
    <row r="57" spans="1:14" x14ac:dyDescent="0.35">
      <c r="A57" s="6">
        <v>56</v>
      </c>
      <c r="B57" s="7" t="s">
        <v>26</v>
      </c>
      <c r="C57" s="7" t="s">
        <v>138</v>
      </c>
      <c r="D57" s="7" t="s">
        <v>112</v>
      </c>
      <c r="E57" s="7" t="s">
        <v>65</v>
      </c>
      <c r="F57" s="6">
        <v>160</v>
      </c>
      <c r="G57" s="6">
        <v>115</v>
      </c>
      <c r="H57" s="6">
        <v>130</v>
      </c>
      <c r="I57" s="6">
        <v>1800</v>
      </c>
      <c r="J57" s="6">
        <v>50</v>
      </c>
      <c r="K57" s="6">
        <v>5</v>
      </c>
      <c r="L57" s="6">
        <f t="shared" si="3"/>
        <v>145</v>
      </c>
      <c r="M57" s="9">
        <f t="shared" si="4"/>
        <v>12.413793103448276</v>
      </c>
      <c r="N57" s="6" t="str">
        <f t="shared" si="5"/>
        <v>Sufficient</v>
      </c>
    </row>
    <row r="58" spans="1:14" x14ac:dyDescent="0.35">
      <c r="A58" s="6">
        <v>57</v>
      </c>
      <c r="B58" s="7" t="s">
        <v>8</v>
      </c>
      <c r="C58" s="7" t="s">
        <v>137</v>
      </c>
      <c r="D58" s="7" t="s">
        <v>67</v>
      </c>
      <c r="E58" s="7" t="s">
        <v>68</v>
      </c>
      <c r="F58" s="6">
        <v>125</v>
      </c>
      <c r="G58" s="6">
        <v>95</v>
      </c>
      <c r="H58" s="6">
        <v>105</v>
      </c>
      <c r="I58" s="6">
        <v>45000</v>
      </c>
      <c r="J58" s="6">
        <v>50</v>
      </c>
      <c r="K58" s="6">
        <v>7</v>
      </c>
      <c r="L58" s="6">
        <f t="shared" si="3"/>
        <v>115</v>
      </c>
      <c r="M58" s="9">
        <f t="shared" si="4"/>
        <v>391.30434782608694</v>
      </c>
      <c r="N58" s="6" t="str">
        <f t="shared" si="5"/>
        <v>Sufficient</v>
      </c>
    </row>
    <row r="59" spans="1:14" x14ac:dyDescent="0.35">
      <c r="A59" s="6">
        <v>58</v>
      </c>
      <c r="B59" s="7" t="s">
        <v>11</v>
      </c>
      <c r="C59" s="7" t="s">
        <v>137</v>
      </c>
      <c r="D59" s="7" t="s">
        <v>69</v>
      </c>
      <c r="E59" s="7" t="s">
        <v>68</v>
      </c>
      <c r="F59" s="6">
        <v>205</v>
      </c>
      <c r="G59" s="6">
        <v>155</v>
      </c>
      <c r="H59" s="6">
        <v>175</v>
      </c>
      <c r="I59" s="6">
        <v>18000</v>
      </c>
      <c r="J59" s="6">
        <v>70</v>
      </c>
      <c r="K59" s="6">
        <v>5</v>
      </c>
      <c r="L59" s="6">
        <f t="shared" si="3"/>
        <v>185</v>
      </c>
      <c r="M59" s="9">
        <f t="shared" si="4"/>
        <v>97.297297297297291</v>
      </c>
      <c r="N59" s="6" t="str">
        <f t="shared" si="5"/>
        <v>Sufficient</v>
      </c>
    </row>
    <row r="60" spans="1:14" x14ac:dyDescent="0.35">
      <c r="A60" s="6">
        <v>59</v>
      </c>
      <c r="B60" s="7" t="s">
        <v>13</v>
      </c>
      <c r="C60" s="7" t="s">
        <v>137</v>
      </c>
      <c r="D60" s="7" t="s">
        <v>67</v>
      </c>
      <c r="E60" s="7" t="s">
        <v>68</v>
      </c>
      <c r="F60" s="6">
        <v>100</v>
      </c>
      <c r="G60" s="6">
        <v>75</v>
      </c>
      <c r="H60" s="6">
        <v>85</v>
      </c>
      <c r="I60" s="6">
        <v>22000</v>
      </c>
      <c r="J60" s="6">
        <v>40</v>
      </c>
      <c r="K60" s="6">
        <v>6</v>
      </c>
      <c r="L60" s="6">
        <f t="shared" si="3"/>
        <v>90</v>
      </c>
      <c r="M60" s="9">
        <f t="shared" si="4"/>
        <v>244.44444444444446</v>
      </c>
      <c r="N60" s="6" t="str">
        <f t="shared" si="5"/>
        <v>Sufficient</v>
      </c>
    </row>
    <row r="61" spans="1:14" x14ac:dyDescent="0.35">
      <c r="A61" s="6">
        <v>60</v>
      </c>
      <c r="B61" s="7" t="s">
        <v>15</v>
      </c>
      <c r="C61" s="7" t="s">
        <v>137</v>
      </c>
      <c r="D61" s="7" t="s">
        <v>116</v>
      </c>
      <c r="E61" s="7" t="s">
        <v>68</v>
      </c>
      <c r="F61" s="6">
        <v>90</v>
      </c>
      <c r="G61" s="6">
        <v>65</v>
      </c>
      <c r="H61" s="6">
        <v>70</v>
      </c>
      <c r="I61" s="6">
        <v>14000</v>
      </c>
      <c r="J61" s="6">
        <v>35</v>
      </c>
      <c r="K61" s="6">
        <v>7</v>
      </c>
      <c r="L61" s="6">
        <f t="shared" si="3"/>
        <v>85</v>
      </c>
      <c r="M61" s="9">
        <f t="shared" si="4"/>
        <v>164.70588235294119</v>
      </c>
      <c r="N61" s="6" t="str">
        <f t="shared" si="5"/>
        <v>Sufficient</v>
      </c>
    </row>
    <row r="62" spans="1:14" x14ac:dyDescent="0.35">
      <c r="A62" s="6">
        <v>61</v>
      </c>
      <c r="B62" s="7" t="s">
        <v>18</v>
      </c>
      <c r="C62" s="7" t="s">
        <v>138</v>
      </c>
      <c r="D62" s="7" t="s">
        <v>67</v>
      </c>
      <c r="E62" s="7" t="s">
        <v>68</v>
      </c>
      <c r="F62" s="6">
        <v>155</v>
      </c>
      <c r="G62" s="6">
        <v>110</v>
      </c>
      <c r="H62" s="6">
        <v>130</v>
      </c>
      <c r="I62" s="6">
        <v>1200</v>
      </c>
      <c r="J62" s="6">
        <v>50</v>
      </c>
      <c r="K62" s="6">
        <v>4</v>
      </c>
      <c r="L62" s="6">
        <f t="shared" si="3"/>
        <v>135</v>
      </c>
      <c r="M62" s="9">
        <f t="shared" si="4"/>
        <v>8.8888888888888893</v>
      </c>
      <c r="N62" s="6" t="str">
        <f t="shared" si="5"/>
        <v>Sufficient</v>
      </c>
    </row>
    <row r="63" spans="1:14" x14ac:dyDescent="0.35">
      <c r="A63" s="6">
        <v>62</v>
      </c>
      <c r="B63" s="7" t="s">
        <v>21</v>
      </c>
      <c r="C63" s="7" t="s">
        <v>138</v>
      </c>
      <c r="D63" s="7" t="s">
        <v>69</v>
      </c>
      <c r="E63" s="7" t="s">
        <v>68</v>
      </c>
      <c r="F63" s="6">
        <v>175</v>
      </c>
      <c r="G63" s="6">
        <v>125</v>
      </c>
      <c r="H63" s="6">
        <v>145</v>
      </c>
      <c r="I63" s="6">
        <v>700</v>
      </c>
      <c r="J63" s="6">
        <v>60</v>
      </c>
      <c r="K63" s="6">
        <v>4</v>
      </c>
      <c r="L63" s="6">
        <f t="shared" si="3"/>
        <v>155</v>
      </c>
      <c r="M63" s="9">
        <f t="shared" si="4"/>
        <v>4.5161290322580649</v>
      </c>
      <c r="N63" s="6" t="str">
        <f t="shared" si="5"/>
        <v>Sufficient</v>
      </c>
    </row>
    <row r="64" spans="1:14" x14ac:dyDescent="0.35">
      <c r="A64" s="6">
        <v>63</v>
      </c>
      <c r="B64" s="7" t="s">
        <v>23</v>
      </c>
      <c r="C64" s="7" t="s">
        <v>137</v>
      </c>
      <c r="D64" s="7" t="s">
        <v>67</v>
      </c>
      <c r="E64" s="7" t="s">
        <v>68</v>
      </c>
      <c r="F64" s="6">
        <v>70</v>
      </c>
      <c r="G64" s="6">
        <v>50</v>
      </c>
      <c r="H64" s="6">
        <v>55</v>
      </c>
      <c r="I64" s="6">
        <v>12000</v>
      </c>
      <c r="J64" s="6">
        <v>25</v>
      </c>
      <c r="K64" s="6">
        <v>8</v>
      </c>
      <c r="L64" s="6">
        <f t="shared" si="3"/>
        <v>65</v>
      </c>
      <c r="M64" s="9">
        <f t="shared" si="4"/>
        <v>184.61538461538461</v>
      </c>
      <c r="N64" s="6" t="str">
        <f t="shared" si="5"/>
        <v>Sufficient</v>
      </c>
    </row>
    <row r="65" spans="1:14" x14ac:dyDescent="0.35">
      <c r="A65" s="6">
        <v>64</v>
      </c>
      <c r="B65" s="7" t="s">
        <v>26</v>
      </c>
      <c r="C65" s="7" t="s">
        <v>138</v>
      </c>
      <c r="D65" s="7" t="s">
        <v>116</v>
      </c>
      <c r="E65" s="7" t="s">
        <v>68</v>
      </c>
      <c r="F65" s="6">
        <v>140</v>
      </c>
      <c r="G65" s="6">
        <v>100</v>
      </c>
      <c r="H65" s="6">
        <v>115</v>
      </c>
      <c r="I65" s="6">
        <v>1800</v>
      </c>
      <c r="J65" s="6">
        <v>45</v>
      </c>
      <c r="K65" s="6">
        <v>5</v>
      </c>
      <c r="L65" s="6">
        <f t="shared" si="3"/>
        <v>125</v>
      </c>
      <c r="M65" s="9">
        <f t="shared" si="4"/>
        <v>14.4</v>
      </c>
      <c r="N65" s="6" t="str">
        <f t="shared" si="5"/>
        <v>Sufficient</v>
      </c>
    </row>
    <row r="66" spans="1:14" x14ac:dyDescent="0.35">
      <c r="A66" s="6">
        <v>65</v>
      </c>
      <c r="B66" s="7" t="s">
        <v>8</v>
      </c>
      <c r="C66" s="7" t="s">
        <v>137</v>
      </c>
      <c r="D66" s="7" t="s">
        <v>49</v>
      </c>
      <c r="E66" s="7" t="s">
        <v>50</v>
      </c>
      <c r="F66" s="6">
        <v>145</v>
      </c>
      <c r="G66" s="6">
        <v>105</v>
      </c>
      <c r="H66" s="6">
        <v>120</v>
      </c>
      <c r="I66" s="6">
        <v>45000</v>
      </c>
      <c r="J66" s="6">
        <v>55</v>
      </c>
      <c r="K66" s="6">
        <v>7</v>
      </c>
      <c r="L66" s="6">
        <f t="shared" ref="L66:L101" si="6">F66+G66-H66</f>
        <v>130</v>
      </c>
      <c r="M66" s="9">
        <f t="shared" ref="M66:M97" si="7">I66/L66</f>
        <v>346.15384615384613</v>
      </c>
      <c r="N66" s="6" t="str">
        <f t="shared" ref="N66:N101" si="8">IF(L66&lt;=J66, "Reorder", "Sufficient")</f>
        <v>Sufficient</v>
      </c>
    </row>
    <row r="67" spans="1:14" x14ac:dyDescent="0.35">
      <c r="A67" s="6">
        <v>66</v>
      </c>
      <c r="B67" s="7" t="s">
        <v>11</v>
      </c>
      <c r="C67" s="7" t="s">
        <v>137</v>
      </c>
      <c r="D67" s="7" t="s">
        <v>106</v>
      </c>
      <c r="E67" s="7" t="s">
        <v>50</v>
      </c>
      <c r="F67" s="6">
        <v>225</v>
      </c>
      <c r="G67" s="6">
        <v>175</v>
      </c>
      <c r="H67" s="6">
        <v>195</v>
      </c>
      <c r="I67" s="6">
        <v>18000</v>
      </c>
      <c r="J67" s="6">
        <v>80</v>
      </c>
      <c r="K67" s="6">
        <v>5</v>
      </c>
      <c r="L67" s="6">
        <f t="shared" si="6"/>
        <v>205</v>
      </c>
      <c r="M67" s="9">
        <f t="shared" si="7"/>
        <v>87.804878048780495</v>
      </c>
      <c r="N67" s="6" t="str">
        <f t="shared" si="8"/>
        <v>Sufficient</v>
      </c>
    </row>
    <row r="68" spans="1:14" x14ac:dyDescent="0.35">
      <c r="A68" s="6">
        <v>67</v>
      </c>
      <c r="B68" s="7" t="s">
        <v>13</v>
      </c>
      <c r="C68" s="7" t="s">
        <v>137</v>
      </c>
      <c r="D68" s="7" t="s">
        <v>49</v>
      </c>
      <c r="E68" s="7" t="s">
        <v>50</v>
      </c>
      <c r="F68" s="6">
        <v>110</v>
      </c>
      <c r="G68" s="6">
        <v>85</v>
      </c>
      <c r="H68" s="6">
        <v>95</v>
      </c>
      <c r="I68" s="6">
        <v>22000</v>
      </c>
      <c r="J68" s="6">
        <v>45</v>
      </c>
      <c r="K68" s="6">
        <v>6</v>
      </c>
      <c r="L68" s="6">
        <f t="shared" si="6"/>
        <v>100</v>
      </c>
      <c r="M68" s="9">
        <f t="shared" si="7"/>
        <v>220</v>
      </c>
      <c r="N68" s="6" t="str">
        <f t="shared" si="8"/>
        <v>Sufficient</v>
      </c>
    </row>
    <row r="69" spans="1:14" x14ac:dyDescent="0.35">
      <c r="A69" s="6">
        <v>68</v>
      </c>
      <c r="B69" s="7" t="s">
        <v>15</v>
      </c>
      <c r="C69" s="7" t="s">
        <v>137</v>
      </c>
      <c r="D69" s="7" t="s">
        <v>108</v>
      </c>
      <c r="E69" s="7" t="s">
        <v>50</v>
      </c>
      <c r="F69" s="6">
        <v>95</v>
      </c>
      <c r="G69" s="6">
        <v>70</v>
      </c>
      <c r="H69" s="6">
        <v>80</v>
      </c>
      <c r="I69" s="6">
        <v>14000</v>
      </c>
      <c r="J69" s="6">
        <v>40</v>
      </c>
      <c r="K69" s="6">
        <v>7</v>
      </c>
      <c r="L69" s="6">
        <f t="shared" si="6"/>
        <v>85</v>
      </c>
      <c r="M69" s="9">
        <f t="shared" si="7"/>
        <v>164.70588235294119</v>
      </c>
      <c r="N69" s="6" t="str">
        <f t="shared" si="8"/>
        <v>Sufficient</v>
      </c>
    </row>
    <row r="70" spans="1:14" x14ac:dyDescent="0.35">
      <c r="A70" s="6">
        <v>69</v>
      </c>
      <c r="B70" s="7" t="s">
        <v>18</v>
      </c>
      <c r="C70" s="7" t="s">
        <v>138</v>
      </c>
      <c r="D70" s="7" t="s">
        <v>49</v>
      </c>
      <c r="E70" s="7" t="s">
        <v>50</v>
      </c>
      <c r="F70" s="6">
        <v>170</v>
      </c>
      <c r="G70" s="6">
        <v>125</v>
      </c>
      <c r="H70" s="6">
        <v>145</v>
      </c>
      <c r="I70" s="6">
        <v>1200</v>
      </c>
      <c r="J70" s="6">
        <v>60</v>
      </c>
      <c r="K70" s="6">
        <v>4</v>
      </c>
      <c r="L70" s="6">
        <f t="shared" si="6"/>
        <v>150</v>
      </c>
      <c r="M70" s="9">
        <f t="shared" si="7"/>
        <v>8</v>
      </c>
      <c r="N70" s="6" t="str">
        <f t="shared" si="8"/>
        <v>Sufficient</v>
      </c>
    </row>
    <row r="71" spans="1:14" x14ac:dyDescent="0.35">
      <c r="A71" s="6">
        <v>70</v>
      </c>
      <c r="B71" s="7" t="s">
        <v>21</v>
      </c>
      <c r="C71" s="7" t="s">
        <v>138</v>
      </c>
      <c r="D71" s="7" t="s">
        <v>106</v>
      </c>
      <c r="E71" s="7" t="s">
        <v>50</v>
      </c>
      <c r="F71" s="6">
        <v>190</v>
      </c>
      <c r="G71" s="6">
        <v>140</v>
      </c>
      <c r="H71" s="6">
        <v>160</v>
      </c>
      <c r="I71" s="6">
        <v>700</v>
      </c>
      <c r="J71" s="6">
        <v>65</v>
      </c>
      <c r="K71" s="6">
        <v>4</v>
      </c>
      <c r="L71" s="6">
        <f t="shared" si="6"/>
        <v>170</v>
      </c>
      <c r="M71" s="9">
        <f t="shared" si="7"/>
        <v>4.117647058823529</v>
      </c>
      <c r="N71" s="6" t="str">
        <f t="shared" si="8"/>
        <v>Sufficient</v>
      </c>
    </row>
    <row r="72" spans="1:14" x14ac:dyDescent="0.35">
      <c r="A72" s="6">
        <v>71</v>
      </c>
      <c r="B72" s="7" t="s">
        <v>23</v>
      </c>
      <c r="C72" s="7" t="s">
        <v>137</v>
      </c>
      <c r="D72" s="7" t="s">
        <v>49</v>
      </c>
      <c r="E72" s="7" t="s">
        <v>50</v>
      </c>
      <c r="F72" s="6">
        <v>80</v>
      </c>
      <c r="G72" s="6">
        <v>60</v>
      </c>
      <c r="H72" s="6">
        <v>65</v>
      </c>
      <c r="I72" s="6">
        <v>12000</v>
      </c>
      <c r="J72" s="6">
        <v>30</v>
      </c>
      <c r="K72" s="6">
        <v>8</v>
      </c>
      <c r="L72" s="6">
        <f t="shared" si="6"/>
        <v>75</v>
      </c>
      <c r="M72" s="9">
        <f t="shared" si="7"/>
        <v>160</v>
      </c>
      <c r="N72" s="6" t="str">
        <f t="shared" si="8"/>
        <v>Sufficient</v>
      </c>
    </row>
    <row r="73" spans="1:14" x14ac:dyDescent="0.35">
      <c r="A73" s="6">
        <v>72</v>
      </c>
      <c r="B73" s="7" t="s">
        <v>26</v>
      </c>
      <c r="C73" s="7" t="s">
        <v>138</v>
      </c>
      <c r="D73" s="7" t="s">
        <v>108</v>
      </c>
      <c r="E73" s="7" t="s">
        <v>50</v>
      </c>
      <c r="F73" s="6">
        <v>150</v>
      </c>
      <c r="G73" s="6">
        <v>105</v>
      </c>
      <c r="H73" s="6">
        <v>120</v>
      </c>
      <c r="I73" s="6">
        <v>1800</v>
      </c>
      <c r="J73" s="6">
        <v>50</v>
      </c>
      <c r="K73" s="6">
        <v>5</v>
      </c>
      <c r="L73" s="6">
        <f t="shared" si="6"/>
        <v>135</v>
      </c>
      <c r="M73" s="9">
        <f t="shared" si="7"/>
        <v>13.333333333333334</v>
      </c>
      <c r="N73" s="6" t="str">
        <f t="shared" si="8"/>
        <v>Sufficient</v>
      </c>
    </row>
    <row r="74" spans="1:14" x14ac:dyDescent="0.35">
      <c r="A74" s="6">
        <v>73</v>
      </c>
      <c r="B74" s="7" t="s">
        <v>8</v>
      </c>
      <c r="C74" s="7" t="s">
        <v>137</v>
      </c>
      <c r="D74" s="7" t="s">
        <v>43</v>
      </c>
      <c r="E74" s="7" t="s">
        <v>44</v>
      </c>
      <c r="F74" s="6">
        <v>130</v>
      </c>
      <c r="G74" s="6">
        <v>90</v>
      </c>
      <c r="H74" s="6">
        <v>105</v>
      </c>
      <c r="I74" s="6">
        <v>45000</v>
      </c>
      <c r="J74" s="6">
        <v>50</v>
      </c>
      <c r="K74" s="6">
        <v>7</v>
      </c>
      <c r="L74" s="6">
        <f t="shared" si="6"/>
        <v>115</v>
      </c>
      <c r="M74" s="9">
        <f t="shared" si="7"/>
        <v>391.30434782608694</v>
      </c>
      <c r="N74" s="6" t="str">
        <f t="shared" si="8"/>
        <v>Sufficient</v>
      </c>
    </row>
    <row r="75" spans="1:14" x14ac:dyDescent="0.35">
      <c r="A75" s="6">
        <v>74</v>
      </c>
      <c r="B75" s="7" t="s">
        <v>11</v>
      </c>
      <c r="C75" s="7" t="s">
        <v>137</v>
      </c>
      <c r="D75" s="7" t="s">
        <v>45</v>
      </c>
      <c r="E75" s="7" t="s">
        <v>44</v>
      </c>
      <c r="F75" s="6">
        <v>200</v>
      </c>
      <c r="G75" s="6">
        <v>150</v>
      </c>
      <c r="H75" s="6">
        <v>170</v>
      </c>
      <c r="I75" s="6">
        <v>18000</v>
      </c>
      <c r="J75" s="6">
        <v>70</v>
      </c>
      <c r="K75" s="6">
        <v>5</v>
      </c>
      <c r="L75" s="6">
        <f t="shared" si="6"/>
        <v>180</v>
      </c>
      <c r="M75" s="9">
        <f t="shared" si="7"/>
        <v>100</v>
      </c>
      <c r="N75" s="6" t="str">
        <f t="shared" si="8"/>
        <v>Sufficient</v>
      </c>
    </row>
    <row r="76" spans="1:14" x14ac:dyDescent="0.35">
      <c r="A76" s="6">
        <v>75</v>
      </c>
      <c r="B76" s="7" t="s">
        <v>13</v>
      </c>
      <c r="C76" s="7" t="s">
        <v>137</v>
      </c>
      <c r="D76" s="7" t="s">
        <v>43</v>
      </c>
      <c r="E76" s="7" t="s">
        <v>44</v>
      </c>
      <c r="F76" s="6">
        <v>105</v>
      </c>
      <c r="G76" s="6">
        <v>80</v>
      </c>
      <c r="H76" s="6">
        <v>90</v>
      </c>
      <c r="I76" s="6">
        <v>22000</v>
      </c>
      <c r="J76" s="6">
        <v>40</v>
      </c>
      <c r="K76" s="6">
        <v>6</v>
      </c>
      <c r="L76" s="6">
        <f t="shared" si="6"/>
        <v>95</v>
      </c>
      <c r="M76" s="9">
        <f t="shared" si="7"/>
        <v>231.57894736842104</v>
      </c>
      <c r="N76" s="6" t="str">
        <f t="shared" si="8"/>
        <v>Sufficient</v>
      </c>
    </row>
    <row r="77" spans="1:14" x14ac:dyDescent="0.35">
      <c r="A77" s="6">
        <v>76</v>
      </c>
      <c r="B77" s="7" t="s">
        <v>15</v>
      </c>
      <c r="C77" s="7" t="s">
        <v>137</v>
      </c>
      <c r="D77" s="7" t="s">
        <v>105</v>
      </c>
      <c r="E77" s="7" t="s">
        <v>44</v>
      </c>
      <c r="F77" s="6">
        <v>85</v>
      </c>
      <c r="G77" s="6">
        <v>65</v>
      </c>
      <c r="H77" s="6">
        <v>70</v>
      </c>
      <c r="I77" s="6">
        <v>14000</v>
      </c>
      <c r="J77" s="6">
        <v>35</v>
      </c>
      <c r="K77" s="6">
        <v>7</v>
      </c>
      <c r="L77" s="6">
        <f t="shared" si="6"/>
        <v>80</v>
      </c>
      <c r="M77" s="9">
        <f t="shared" si="7"/>
        <v>175</v>
      </c>
      <c r="N77" s="6" t="str">
        <f t="shared" si="8"/>
        <v>Sufficient</v>
      </c>
    </row>
    <row r="78" spans="1:14" x14ac:dyDescent="0.35">
      <c r="A78" s="6">
        <v>77</v>
      </c>
      <c r="B78" s="7" t="s">
        <v>18</v>
      </c>
      <c r="C78" s="7" t="s">
        <v>138</v>
      </c>
      <c r="D78" s="7" t="s">
        <v>43</v>
      </c>
      <c r="E78" s="7" t="s">
        <v>44</v>
      </c>
      <c r="F78" s="6">
        <v>150</v>
      </c>
      <c r="G78" s="6">
        <v>110</v>
      </c>
      <c r="H78" s="6">
        <v>125</v>
      </c>
      <c r="I78" s="6">
        <v>1200</v>
      </c>
      <c r="J78" s="6">
        <v>50</v>
      </c>
      <c r="K78" s="6">
        <v>4</v>
      </c>
      <c r="L78" s="6">
        <f t="shared" si="6"/>
        <v>135</v>
      </c>
      <c r="M78" s="9">
        <f t="shared" si="7"/>
        <v>8.8888888888888893</v>
      </c>
      <c r="N78" s="6" t="str">
        <f t="shared" si="8"/>
        <v>Sufficient</v>
      </c>
    </row>
    <row r="79" spans="1:14" x14ac:dyDescent="0.35">
      <c r="A79" s="6">
        <v>78</v>
      </c>
      <c r="B79" s="7" t="s">
        <v>21</v>
      </c>
      <c r="C79" s="7" t="s">
        <v>138</v>
      </c>
      <c r="D79" s="7" t="s">
        <v>45</v>
      </c>
      <c r="E79" s="7" t="s">
        <v>44</v>
      </c>
      <c r="F79" s="6">
        <v>170</v>
      </c>
      <c r="G79" s="6">
        <v>120</v>
      </c>
      <c r="H79" s="6">
        <v>140</v>
      </c>
      <c r="I79" s="6">
        <v>700</v>
      </c>
      <c r="J79" s="6">
        <v>55</v>
      </c>
      <c r="K79" s="6">
        <v>4</v>
      </c>
      <c r="L79" s="6">
        <f t="shared" si="6"/>
        <v>150</v>
      </c>
      <c r="M79" s="9">
        <f t="shared" si="7"/>
        <v>4.666666666666667</v>
      </c>
      <c r="N79" s="6" t="str">
        <f t="shared" si="8"/>
        <v>Sufficient</v>
      </c>
    </row>
    <row r="80" spans="1:14" x14ac:dyDescent="0.35">
      <c r="A80" s="6">
        <v>79</v>
      </c>
      <c r="B80" s="7" t="s">
        <v>23</v>
      </c>
      <c r="C80" s="7" t="s">
        <v>137</v>
      </c>
      <c r="D80" s="7" t="s">
        <v>43</v>
      </c>
      <c r="E80" s="7" t="s">
        <v>44</v>
      </c>
      <c r="F80" s="6">
        <v>70</v>
      </c>
      <c r="G80" s="6">
        <v>50</v>
      </c>
      <c r="H80" s="6">
        <v>55</v>
      </c>
      <c r="I80" s="6">
        <v>12000</v>
      </c>
      <c r="J80" s="6">
        <v>25</v>
      </c>
      <c r="K80" s="6">
        <v>8</v>
      </c>
      <c r="L80" s="6">
        <f t="shared" si="6"/>
        <v>65</v>
      </c>
      <c r="M80" s="9">
        <f t="shared" si="7"/>
        <v>184.61538461538461</v>
      </c>
      <c r="N80" s="6" t="str">
        <f t="shared" si="8"/>
        <v>Sufficient</v>
      </c>
    </row>
    <row r="81" spans="1:14" x14ac:dyDescent="0.35">
      <c r="A81" s="6">
        <v>80</v>
      </c>
      <c r="B81" s="7" t="s">
        <v>26</v>
      </c>
      <c r="C81" s="7" t="s">
        <v>138</v>
      </c>
      <c r="D81" s="7" t="s">
        <v>105</v>
      </c>
      <c r="E81" s="7" t="s">
        <v>44</v>
      </c>
      <c r="F81" s="6">
        <v>135</v>
      </c>
      <c r="G81" s="6">
        <v>95</v>
      </c>
      <c r="H81" s="6">
        <v>110</v>
      </c>
      <c r="I81" s="6">
        <v>1800</v>
      </c>
      <c r="J81" s="6">
        <v>45</v>
      </c>
      <c r="K81" s="6">
        <v>5</v>
      </c>
      <c r="L81" s="6">
        <f t="shared" si="6"/>
        <v>120</v>
      </c>
      <c r="M81" s="9">
        <f t="shared" si="7"/>
        <v>15</v>
      </c>
      <c r="N81" s="6" t="str">
        <f t="shared" si="8"/>
        <v>Sufficient</v>
      </c>
    </row>
    <row r="82" spans="1:14" x14ac:dyDescent="0.35">
      <c r="A82" s="6">
        <v>81</v>
      </c>
      <c r="B82" s="7" t="s">
        <v>8</v>
      </c>
      <c r="C82" s="7" t="s">
        <v>137</v>
      </c>
      <c r="D82" s="7" t="s">
        <v>33</v>
      </c>
      <c r="E82" s="7" t="s">
        <v>34</v>
      </c>
      <c r="F82" s="6">
        <v>140</v>
      </c>
      <c r="G82" s="6">
        <v>100</v>
      </c>
      <c r="H82" s="6">
        <v>115</v>
      </c>
      <c r="I82" s="6">
        <v>45000</v>
      </c>
      <c r="J82" s="6">
        <v>50</v>
      </c>
      <c r="K82" s="6">
        <v>7</v>
      </c>
      <c r="L82" s="6">
        <f t="shared" si="6"/>
        <v>125</v>
      </c>
      <c r="M82" s="9">
        <f t="shared" si="7"/>
        <v>360</v>
      </c>
      <c r="N82" s="6" t="str">
        <f t="shared" si="8"/>
        <v>Sufficient</v>
      </c>
    </row>
    <row r="83" spans="1:14" x14ac:dyDescent="0.35">
      <c r="A83" s="6">
        <v>82</v>
      </c>
      <c r="B83" s="7" t="s">
        <v>11</v>
      </c>
      <c r="C83" s="7" t="s">
        <v>137</v>
      </c>
      <c r="D83" s="7" t="s">
        <v>35</v>
      </c>
      <c r="E83" s="7" t="s">
        <v>34</v>
      </c>
      <c r="F83" s="6">
        <v>220</v>
      </c>
      <c r="G83" s="6">
        <v>170</v>
      </c>
      <c r="H83" s="6">
        <v>190</v>
      </c>
      <c r="I83" s="6">
        <v>18000</v>
      </c>
      <c r="J83" s="6">
        <v>75</v>
      </c>
      <c r="K83" s="6">
        <v>5</v>
      </c>
      <c r="L83" s="6">
        <f t="shared" si="6"/>
        <v>200</v>
      </c>
      <c r="M83" s="9">
        <f t="shared" si="7"/>
        <v>90</v>
      </c>
      <c r="N83" s="6" t="str">
        <f t="shared" si="8"/>
        <v>Sufficient</v>
      </c>
    </row>
    <row r="84" spans="1:14" x14ac:dyDescent="0.35">
      <c r="A84" s="6">
        <v>83</v>
      </c>
      <c r="B84" s="7" t="s">
        <v>13</v>
      </c>
      <c r="C84" s="7" t="s">
        <v>137</v>
      </c>
      <c r="D84" s="7" t="s">
        <v>33</v>
      </c>
      <c r="E84" s="7" t="s">
        <v>34</v>
      </c>
      <c r="F84" s="6">
        <v>115</v>
      </c>
      <c r="G84" s="6">
        <v>85</v>
      </c>
      <c r="H84" s="6">
        <v>100</v>
      </c>
      <c r="I84" s="6">
        <v>22000</v>
      </c>
      <c r="J84" s="6">
        <v>45</v>
      </c>
      <c r="K84" s="6">
        <v>6</v>
      </c>
      <c r="L84" s="6">
        <f t="shared" si="6"/>
        <v>100</v>
      </c>
      <c r="M84" s="9">
        <f t="shared" si="7"/>
        <v>220</v>
      </c>
      <c r="N84" s="6" t="str">
        <f t="shared" si="8"/>
        <v>Sufficient</v>
      </c>
    </row>
    <row r="85" spans="1:14" x14ac:dyDescent="0.35">
      <c r="A85" s="6">
        <v>84</v>
      </c>
      <c r="B85" s="7" t="s">
        <v>15</v>
      </c>
      <c r="C85" s="7" t="s">
        <v>137</v>
      </c>
      <c r="D85" s="7" t="s">
        <v>117</v>
      </c>
      <c r="E85" s="7" t="s">
        <v>34</v>
      </c>
      <c r="F85" s="6">
        <v>90</v>
      </c>
      <c r="G85" s="6">
        <v>70</v>
      </c>
      <c r="H85" s="6">
        <v>75</v>
      </c>
      <c r="I85" s="6">
        <v>14000</v>
      </c>
      <c r="J85" s="6">
        <v>35</v>
      </c>
      <c r="K85" s="6">
        <v>7</v>
      </c>
      <c r="L85" s="6">
        <f t="shared" si="6"/>
        <v>85</v>
      </c>
      <c r="M85" s="9">
        <f t="shared" si="7"/>
        <v>164.70588235294119</v>
      </c>
      <c r="N85" s="6" t="str">
        <f t="shared" si="8"/>
        <v>Sufficient</v>
      </c>
    </row>
    <row r="86" spans="1:14" x14ac:dyDescent="0.35">
      <c r="A86" s="6">
        <v>85</v>
      </c>
      <c r="B86" s="7" t="s">
        <v>18</v>
      </c>
      <c r="C86" s="7" t="s">
        <v>138</v>
      </c>
      <c r="D86" s="7" t="s">
        <v>35</v>
      </c>
      <c r="E86" s="7" t="s">
        <v>34</v>
      </c>
      <c r="F86" s="6">
        <v>165</v>
      </c>
      <c r="G86" s="6">
        <v>120</v>
      </c>
      <c r="H86" s="6">
        <v>140</v>
      </c>
      <c r="I86" s="6">
        <v>1200</v>
      </c>
      <c r="J86" s="6">
        <v>55</v>
      </c>
      <c r="K86" s="6">
        <v>4</v>
      </c>
      <c r="L86" s="6">
        <f t="shared" si="6"/>
        <v>145</v>
      </c>
      <c r="M86" s="9">
        <f t="shared" si="7"/>
        <v>8.2758620689655178</v>
      </c>
      <c r="N86" s="6" t="str">
        <f t="shared" si="8"/>
        <v>Sufficient</v>
      </c>
    </row>
    <row r="87" spans="1:14" x14ac:dyDescent="0.35">
      <c r="A87" s="6">
        <v>86</v>
      </c>
      <c r="B87" s="7" t="s">
        <v>21</v>
      </c>
      <c r="C87" s="7" t="s">
        <v>138</v>
      </c>
      <c r="D87" s="7" t="s">
        <v>33</v>
      </c>
      <c r="E87" s="7" t="s">
        <v>34</v>
      </c>
      <c r="F87" s="6">
        <v>185</v>
      </c>
      <c r="G87" s="6">
        <v>130</v>
      </c>
      <c r="H87" s="6">
        <v>155</v>
      </c>
      <c r="I87" s="6">
        <v>700</v>
      </c>
      <c r="J87" s="6">
        <v>60</v>
      </c>
      <c r="K87" s="6">
        <v>4</v>
      </c>
      <c r="L87" s="6">
        <f t="shared" si="6"/>
        <v>160</v>
      </c>
      <c r="M87" s="9">
        <f t="shared" si="7"/>
        <v>4.375</v>
      </c>
      <c r="N87" s="6" t="str">
        <f t="shared" si="8"/>
        <v>Sufficient</v>
      </c>
    </row>
    <row r="88" spans="1:14" x14ac:dyDescent="0.35">
      <c r="A88" s="6">
        <v>87</v>
      </c>
      <c r="B88" s="7" t="s">
        <v>23</v>
      </c>
      <c r="C88" s="7" t="s">
        <v>137</v>
      </c>
      <c r="D88" s="7" t="s">
        <v>35</v>
      </c>
      <c r="E88" s="7" t="s">
        <v>34</v>
      </c>
      <c r="F88" s="6">
        <v>75</v>
      </c>
      <c r="G88" s="6">
        <v>55</v>
      </c>
      <c r="H88" s="6">
        <v>60</v>
      </c>
      <c r="I88" s="6">
        <v>12000</v>
      </c>
      <c r="J88" s="6">
        <v>30</v>
      </c>
      <c r="K88" s="6">
        <v>8</v>
      </c>
      <c r="L88" s="6">
        <f t="shared" si="6"/>
        <v>70</v>
      </c>
      <c r="M88" s="9">
        <f t="shared" si="7"/>
        <v>171.42857142857142</v>
      </c>
      <c r="N88" s="6" t="str">
        <f t="shared" si="8"/>
        <v>Sufficient</v>
      </c>
    </row>
    <row r="89" spans="1:14" x14ac:dyDescent="0.35">
      <c r="A89" s="6">
        <v>88</v>
      </c>
      <c r="B89" s="7" t="s">
        <v>26</v>
      </c>
      <c r="C89" s="7" t="s">
        <v>138</v>
      </c>
      <c r="D89" s="7" t="s">
        <v>117</v>
      </c>
      <c r="E89" s="7" t="s">
        <v>34</v>
      </c>
      <c r="F89" s="6">
        <v>145</v>
      </c>
      <c r="G89" s="6">
        <v>100</v>
      </c>
      <c r="H89" s="6">
        <v>120</v>
      </c>
      <c r="I89" s="6">
        <v>1800</v>
      </c>
      <c r="J89" s="6">
        <v>50</v>
      </c>
      <c r="K89" s="6">
        <v>5</v>
      </c>
      <c r="L89" s="6">
        <f t="shared" si="6"/>
        <v>125</v>
      </c>
      <c r="M89" s="9">
        <f t="shared" si="7"/>
        <v>14.4</v>
      </c>
      <c r="N89" s="6" t="str">
        <f t="shared" si="8"/>
        <v>Sufficient</v>
      </c>
    </row>
    <row r="90" spans="1:14" x14ac:dyDescent="0.35">
      <c r="A90" s="6">
        <v>89</v>
      </c>
      <c r="B90" s="7" t="s">
        <v>8</v>
      </c>
      <c r="C90" s="7" t="s">
        <v>137</v>
      </c>
      <c r="D90" s="7" t="s">
        <v>52</v>
      </c>
      <c r="E90" s="7" t="s">
        <v>53</v>
      </c>
      <c r="F90" s="6">
        <v>120</v>
      </c>
      <c r="G90" s="6">
        <v>85</v>
      </c>
      <c r="H90" s="6">
        <v>100</v>
      </c>
      <c r="I90" s="6">
        <v>45000</v>
      </c>
      <c r="J90" s="6">
        <v>45</v>
      </c>
      <c r="K90" s="6">
        <v>7</v>
      </c>
      <c r="L90" s="6">
        <f t="shared" si="6"/>
        <v>105</v>
      </c>
      <c r="M90" s="9">
        <f t="shared" si="7"/>
        <v>428.57142857142856</v>
      </c>
      <c r="N90" s="6" t="str">
        <f t="shared" si="8"/>
        <v>Sufficient</v>
      </c>
    </row>
    <row r="91" spans="1:14" x14ac:dyDescent="0.35">
      <c r="A91" s="6">
        <v>90</v>
      </c>
      <c r="B91" s="7" t="s">
        <v>11</v>
      </c>
      <c r="C91" s="7" t="s">
        <v>137</v>
      </c>
      <c r="D91" s="7" t="s">
        <v>54</v>
      </c>
      <c r="E91" s="7" t="s">
        <v>53</v>
      </c>
      <c r="F91" s="6">
        <v>190</v>
      </c>
      <c r="G91" s="6">
        <v>140</v>
      </c>
      <c r="H91" s="6">
        <v>160</v>
      </c>
      <c r="I91" s="6">
        <v>18000</v>
      </c>
      <c r="J91" s="6">
        <v>65</v>
      </c>
      <c r="K91" s="6">
        <v>5</v>
      </c>
      <c r="L91" s="6">
        <f t="shared" si="6"/>
        <v>170</v>
      </c>
      <c r="M91" s="9">
        <f t="shared" si="7"/>
        <v>105.88235294117646</v>
      </c>
      <c r="N91" s="6" t="str">
        <f t="shared" si="8"/>
        <v>Sufficient</v>
      </c>
    </row>
    <row r="92" spans="1:14" x14ac:dyDescent="0.35">
      <c r="A92" s="6">
        <v>91</v>
      </c>
      <c r="B92" s="7" t="s">
        <v>13</v>
      </c>
      <c r="C92" s="7" t="s">
        <v>137</v>
      </c>
      <c r="D92" s="7" t="s">
        <v>52</v>
      </c>
      <c r="E92" s="7" t="s">
        <v>53</v>
      </c>
      <c r="F92" s="6">
        <v>100</v>
      </c>
      <c r="G92" s="6">
        <v>75</v>
      </c>
      <c r="H92" s="6">
        <v>85</v>
      </c>
      <c r="I92" s="6">
        <v>22000</v>
      </c>
      <c r="J92" s="6">
        <v>40</v>
      </c>
      <c r="K92" s="6">
        <v>6</v>
      </c>
      <c r="L92" s="6">
        <f t="shared" si="6"/>
        <v>90</v>
      </c>
      <c r="M92" s="9">
        <f t="shared" si="7"/>
        <v>244.44444444444446</v>
      </c>
      <c r="N92" s="6" t="str">
        <f t="shared" si="8"/>
        <v>Sufficient</v>
      </c>
    </row>
    <row r="93" spans="1:14" x14ac:dyDescent="0.35">
      <c r="A93" s="6">
        <v>92</v>
      </c>
      <c r="B93" s="7" t="s">
        <v>15</v>
      </c>
      <c r="C93" s="7" t="s">
        <v>137</v>
      </c>
      <c r="D93" s="7" t="s">
        <v>54</v>
      </c>
      <c r="E93" s="7" t="s">
        <v>53</v>
      </c>
      <c r="F93" s="6">
        <v>80</v>
      </c>
      <c r="G93" s="6">
        <v>60</v>
      </c>
      <c r="H93" s="6">
        <v>65</v>
      </c>
      <c r="I93" s="6">
        <v>14000</v>
      </c>
      <c r="J93" s="6">
        <v>30</v>
      </c>
      <c r="K93" s="6">
        <v>7</v>
      </c>
      <c r="L93" s="6">
        <f t="shared" si="6"/>
        <v>75</v>
      </c>
      <c r="M93" s="9">
        <f t="shared" si="7"/>
        <v>186.66666666666666</v>
      </c>
      <c r="N93" s="6" t="str">
        <f t="shared" si="8"/>
        <v>Sufficient</v>
      </c>
    </row>
    <row r="94" spans="1:14" x14ac:dyDescent="0.35">
      <c r="A94" s="6">
        <v>93</v>
      </c>
      <c r="B94" s="7" t="s">
        <v>18</v>
      </c>
      <c r="C94" s="7" t="s">
        <v>138</v>
      </c>
      <c r="D94" s="7" t="s">
        <v>52</v>
      </c>
      <c r="E94" s="7" t="s">
        <v>53</v>
      </c>
      <c r="F94" s="6">
        <v>145</v>
      </c>
      <c r="G94" s="6">
        <v>100</v>
      </c>
      <c r="H94" s="6">
        <v>120</v>
      </c>
      <c r="I94" s="6">
        <v>1200</v>
      </c>
      <c r="J94" s="6">
        <v>50</v>
      </c>
      <c r="K94" s="6">
        <v>4</v>
      </c>
      <c r="L94" s="6">
        <f t="shared" si="6"/>
        <v>125</v>
      </c>
      <c r="M94" s="9">
        <f t="shared" si="7"/>
        <v>9.6</v>
      </c>
      <c r="N94" s="6" t="str">
        <f t="shared" si="8"/>
        <v>Sufficient</v>
      </c>
    </row>
    <row r="95" spans="1:14" x14ac:dyDescent="0.35">
      <c r="A95" s="6">
        <v>94</v>
      </c>
      <c r="B95" s="7" t="s">
        <v>21</v>
      </c>
      <c r="C95" s="7" t="s">
        <v>138</v>
      </c>
      <c r="D95" s="7" t="s">
        <v>54</v>
      </c>
      <c r="E95" s="7" t="s">
        <v>53</v>
      </c>
      <c r="F95" s="6">
        <v>165</v>
      </c>
      <c r="G95" s="6">
        <v>115</v>
      </c>
      <c r="H95" s="6">
        <v>135</v>
      </c>
      <c r="I95" s="6">
        <v>700</v>
      </c>
      <c r="J95" s="6">
        <v>55</v>
      </c>
      <c r="K95" s="6">
        <v>4</v>
      </c>
      <c r="L95" s="6">
        <f t="shared" si="6"/>
        <v>145</v>
      </c>
      <c r="M95" s="9">
        <f t="shared" si="7"/>
        <v>4.8275862068965516</v>
      </c>
      <c r="N95" s="6" t="str">
        <f t="shared" si="8"/>
        <v>Sufficient</v>
      </c>
    </row>
    <row r="96" spans="1:14" x14ac:dyDescent="0.35">
      <c r="A96" s="6">
        <v>95</v>
      </c>
      <c r="B96" s="7" t="s">
        <v>23</v>
      </c>
      <c r="C96" s="7" t="s">
        <v>137</v>
      </c>
      <c r="D96" s="7" t="s">
        <v>52</v>
      </c>
      <c r="E96" s="7" t="s">
        <v>53</v>
      </c>
      <c r="F96" s="6">
        <v>65</v>
      </c>
      <c r="G96" s="6">
        <v>45</v>
      </c>
      <c r="H96" s="6">
        <v>50</v>
      </c>
      <c r="I96" s="6">
        <v>12000</v>
      </c>
      <c r="J96" s="6">
        <v>25</v>
      </c>
      <c r="K96" s="6">
        <v>8</v>
      </c>
      <c r="L96" s="6">
        <f t="shared" si="6"/>
        <v>60</v>
      </c>
      <c r="M96" s="9">
        <f t="shared" si="7"/>
        <v>200</v>
      </c>
      <c r="N96" s="6" t="str">
        <f t="shared" si="8"/>
        <v>Sufficient</v>
      </c>
    </row>
    <row r="97" spans="1:14" x14ac:dyDescent="0.35">
      <c r="A97" s="6">
        <v>96</v>
      </c>
      <c r="B97" s="7" t="s">
        <v>26</v>
      </c>
      <c r="C97" s="7" t="s">
        <v>138</v>
      </c>
      <c r="D97" s="7" t="s">
        <v>54</v>
      </c>
      <c r="E97" s="7" t="s">
        <v>53</v>
      </c>
      <c r="F97" s="6">
        <v>130</v>
      </c>
      <c r="G97" s="6">
        <v>90</v>
      </c>
      <c r="H97" s="6">
        <v>105</v>
      </c>
      <c r="I97" s="6">
        <v>1800</v>
      </c>
      <c r="J97" s="6">
        <v>45</v>
      </c>
      <c r="K97" s="6">
        <v>5</v>
      </c>
      <c r="L97" s="6">
        <f t="shared" si="6"/>
        <v>115</v>
      </c>
      <c r="M97" s="9">
        <f t="shared" si="7"/>
        <v>15.652173913043478</v>
      </c>
      <c r="N97" s="6" t="str">
        <f t="shared" si="8"/>
        <v>Sufficient</v>
      </c>
    </row>
    <row r="98" spans="1:14" x14ac:dyDescent="0.35">
      <c r="A98" s="6">
        <v>97</v>
      </c>
      <c r="B98" s="7" t="s">
        <v>8</v>
      </c>
      <c r="C98" s="7" t="s">
        <v>137</v>
      </c>
      <c r="D98" s="7" t="s">
        <v>32</v>
      </c>
      <c r="E98" s="7" t="s">
        <v>32</v>
      </c>
      <c r="F98" s="6">
        <v>135</v>
      </c>
      <c r="G98" s="6">
        <v>95</v>
      </c>
      <c r="H98" s="6">
        <v>110</v>
      </c>
      <c r="I98" s="6">
        <v>45000</v>
      </c>
      <c r="J98" s="6">
        <v>50</v>
      </c>
      <c r="K98" s="6">
        <v>7</v>
      </c>
      <c r="L98" s="6">
        <f t="shared" si="6"/>
        <v>120</v>
      </c>
      <c r="M98" s="9">
        <f t="shared" ref="M98:M129" si="9">I98/L98</f>
        <v>375</v>
      </c>
      <c r="N98" s="6" t="str">
        <f t="shared" si="8"/>
        <v>Sufficient</v>
      </c>
    </row>
    <row r="99" spans="1:14" x14ac:dyDescent="0.35">
      <c r="A99" s="6">
        <v>98</v>
      </c>
      <c r="B99" s="7" t="s">
        <v>11</v>
      </c>
      <c r="C99" s="7" t="s">
        <v>137</v>
      </c>
      <c r="D99" s="7" t="s">
        <v>32</v>
      </c>
      <c r="E99" s="7" t="s">
        <v>32</v>
      </c>
      <c r="F99" s="6">
        <v>210</v>
      </c>
      <c r="G99" s="6">
        <v>160</v>
      </c>
      <c r="H99" s="6">
        <v>180</v>
      </c>
      <c r="I99" s="6">
        <v>18000</v>
      </c>
      <c r="J99" s="6">
        <v>70</v>
      </c>
      <c r="K99" s="6">
        <v>5</v>
      </c>
      <c r="L99" s="6">
        <f t="shared" si="6"/>
        <v>190</v>
      </c>
      <c r="M99" s="9">
        <f t="shared" si="9"/>
        <v>94.736842105263165</v>
      </c>
      <c r="N99" s="6" t="str">
        <f t="shared" si="8"/>
        <v>Sufficient</v>
      </c>
    </row>
    <row r="100" spans="1:14" x14ac:dyDescent="0.35">
      <c r="A100" s="6">
        <v>99</v>
      </c>
      <c r="B100" s="7" t="s">
        <v>13</v>
      </c>
      <c r="C100" s="7" t="s">
        <v>137</v>
      </c>
      <c r="D100" s="7" t="s">
        <v>32</v>
      </c>
      <c r="E100" s="7" t="s">
        <v>32</v>
      </c>
      <c r="F100" s="6">
        <v>105</v>
      </c>
      <c r="G100" s="6">
        <v>80</v>
      </c>
      <c r="H100" s="6">
        <v>90</v>
      </c>
      <c r="I100" s="6">
        <v>22000</v>
      </c>
      <c r="J100" s="6">
        <v>40</v>
      </c>
      <c r="K100" s="6">
        <v>6</v>
      </c>
      <c r="L100" s="6">
        <f t="shared" si="6"/>
        <v>95</v>
      </c>
      <c r="M100" s="9">
        <f t="shared" si="9"/>
        <v>231.57894736842104</v>
      </c>
      <c r="N100" s="6" t="str">
        <f t="shared" si="8"/>
        <v>Sufficient</v>
      </c>
    </row>
    <row r="101" spans="1:14" x14ac:dyDescent="0.35">
      <c r="A101" s="6">
        <v>100</v>
      </c>
      <c r="B101" s="7" t="s">
        <v>15</v>
      </c>
      <c r="C101" s="7" t="s">
        <v>137</v>
      </c>
      <c r="D101" s="7" t="s">
        <v>32</v>
      </c>
      <c r="E101" s="7" t="s">
        <v>32</v>
      </c>
      <c r="F101" s="6">
        <v>90</v>
      </c>
      <c r="G101" s="6">
        <v>65</v>
      </c>
      <c r="H101" s="6">
        <v>70</v>
      </c>
      <c r="I101" s="6">
        <v>14000</v>
      </c>
      <c r="J101" s="6">
        <v>35</v>
      </c>
      <c r="K101" s="6">
        <v>7</v>
      </c>
      <c r="L101" s="6">
        <f t="shared" si="6"/>
        <v>85</v>
      </c>
      <c r="M101" s="9">
        <f t="shared" si="9"/>
        <v>164.70588235294119</v>
      </c>
      <c r="N101" s="6" t="str">
        <f t="shared" si="8"/>
        <v>Sufficient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98C0-4239-40FB-ACBE-0AC32DE91A15}">
  <dimension ref="A5:L90"/>
  <sheetViews>
    <sheetView workbookViewId="0">
      <selection activeCell="M12" sqref="M12"/>
    </sheetView>
  </sheetViews>
  <sheetFormatPr defaultRowHeight="14.5" x14ac:dyDescent="0.35"/>
  <cols>
    <col min="1" max="1" width="13.7265625" bestFit="1" customWidth="1"/>
    <col min="2" max="2" width="14.54296875" bestFit="1" customWidth="1"/>
    <col min="3" max="3" width="15.26953125" bestFit="1" customWidth="1"/>
    <col min="4" max="4" width="14.81640625" bestFit="1" customWidth="1"/>
    <col min="6" max="6" width="15.90625" bestFit="1" customWidth="1"/>
    <col min="7" max="7" width="14.54296875" bestFit="1" customWidth="1"/>
    <col min="8" max="8" width="15.26953125" bestFit="1" customWidth="1"/>
    <col min="9" max="9" width="14.81640625" bestFit="1" customWidth="1"/>
    <col min="11" max="11" width="12.36328125" bestFit="1" customWidth="1"/>
    <col min="12" max="12" width="14.54296875" bestFit="1" customWidth="1"/>
    <col min="13" max="13" width="15.26953125" bestFit="1" customWidth="1"/>
    <col min="14" max="14" width="14.81640625" bestFit="1" customWidth="1"/>
  </cols>
  <sheetData>
    <row r="5" spans="1:12" x14ac:dyDescent="0.35">
      <c r="A5" s="4" t="s">
        <v>125</v>
      </c>
      <c r="B5" t="s">
        <v>127</v>
      </c>
      <c r="C5" t="s">
        <v>129</v>
      </c>
      <c r="D5" t="s">
        <v>128</v>
      </c>
      <c r="F5" s="4" t="s">
        <v>125</v>
      </c>
      <c r="G5" t="s">
        <v>127</v>
      </c>
      <c r="H5" t="s">
        <v>129</v>
      </c>
      <c r="I5" t="s">
        <v>128</v>
      </c>
      <c r="K5" s="4" t="s">
        <v>125</v>
      </c>
      <c r="L5" t="s">
        <v>127</v>
      </c>
    </row>
    <row r="6" spans="1:12" x14ac:dyDescent="0.35">
      <c r="A6" s="5" t="s">
        <v>38</v>
      </c>
      <c r="B6">
        <v>118000</v>
      </c>
      <c r="C6">
        <v>139000</v>
      </c>
      <c r="D6">
        <v>126000</v>
      </c>
      <c r="F6" s="5" t="s">
        <v>71</v>
      </c>
      <c r="G6">
        <v>90000</v>
      </c>
      <c r="H6">
        <v>109000</v>
      </c>
      <c r="I6">
        <v>100000</v>
      </c>
      <c r="K6" s="5" t="s">
        <v>38</v>
      </c>
      <c r="L6">
        <v>118000</v>
      </c>
    </row>
    <row r="7" spans="1:12" x14ac:dyDescent="0.35">
      <c r="A7" s="5" t="s">
        <v>24</v>
      </c>
      <c r="B7">
        <v>55000</v>
      </c>
      <c r="C7">
        <v>58000</v>
      </c>
      <c r="D7">
        <v>62000</v>
      </c>
      <c r="F7" s="5" t="s">
        <v>56</v>
      </c>
      <c r="G7">
        <v>57000</v>
      </c>
      <c r="H7">
        <v>71000</v>
      </c>
      <c r="I7">
        <v>65000</v>
      </c>
      <c r="K7" s="5" t="s">
        <v>58</v>
      </c>
      <c r="L7">
        <v>200000</v>
      </c>
    </row>
    <row r="8" spans="1:12" x14ac:dyDescent="0.35">
      <c r="A8" s="5" t="s">
        <v>40</v>
      </c>
      <c r="B8">
        <v>69000</v>
      </c>
      <c r="C8">
        <v>80000</v>
      </c>
      <c r="D8">
        <v>74000</v>
      </c>
      <c r="F8" s="5" t="s">
        <v>44</v>
      </c>
      <c r="G8">
        <v>362000</v>
      </c>
      <c r="H8">
        <v>433000</v>
      </c>
      <c r="I8">
        <v>397000</v>
      </c>
      <c r="K8" s="5" t="s">
        <v>14</v>
      </c>
      <c r="L8">
        <v>213000</v>
      </c>
    </row>
    <row r="9" spans="1:12" x14ac:dyDescent="0.35">
      <c r="A9" s="5" t="s">
        <v>108</v>
      </c>
      <c r="B9">
        <v>39000</v>
      </c>
      <c r="C9">
        <v>47000</v>
      </c>
      <c r="D9">
        <v>43000</v>
      </c>
      <c r="F9" s="5" t="s">
        <v>32</v>
      </c>
      <c r="G9">
        <v>65000</v>
      </c>
      <c r="H9">
        <v>75000</v>
      </c>
      <c r="I9">
        <v>69000</v>
      </c>
      <c r="K9" s="5" t="s">
        <v>61</v>
      </c>
      <c r="L9">
        <v>263000</v>
      </c>
    </row>
    <row r="10" spans="1:12" x14ac:dyDescent="0.35">
      <c r="A10" s="5" t="s">
        <v>93</v>
      </c>
      <c r="B10">
        <v>70000</v>
      </c>
      <c r="C10">
        <v>82000</v>
      </c>
      <c r="D10">
        <v>76000</v>
      </c>
      <c r="F10" s="5" t="s">
        <v>86</v>
      </c>
      <c r="G10">
        <v>119000</v>
      </c>
      <c r="H10">
        <v>142000</v>
      </c>
      <c r="I10">
        <v>131000</v>
      </c>
      <c r="K10" s="5" t="s">
        <v>16</v>
      </c>
      <c r="L10">
        <v>189000</v>
      </c>
    </row>
    <row r="11" spans="1:12" x14ac:dyDescent="0.35">
      <c r="A11" s="5" t="s">
        <v>120</v>
      </c>
      <c r="B11">
        <v>68000</v>
      </c>
      <c r="C11">
        <v>81000</v>
      </c>
      <c r="D11">
        <v>75000</v>
      </c>
      <c r="F11" s="5" t="s">
        <v>14</v>
      </c>
      <c r="G11">
        <v>213000</v>
      </c>
      <c r="H11">
        <v>249000</v>
      </c>
      <c r="I11">
        <v>229000</v>
      </c>
      <c r="K11" s="5" t="s">
        <v>49</v>
      </c>
      <c r="L11">
        <v>166000</v>
      </c>
    </row>
    <row r="12" spans="1:12" x14ac:dyDescent="0.35">
      <c r="A12" s="5" t="s">
        <v>103</v>
      </c>
      <c r="B12">
        <v>36000</v>
      </c>
      <c r="C12">
        <v>44000</v>
      </c>
      <c r="D12">
        <v>40000</v>
      </c>
      <c r="F12" s="5" t="s">
        <v>90</v>
      </c>
      <c r="G12">
        <v>79000</v>
      </c>
      <c r="H12">
        <v>97000</v>
      </c>
      <c r="I12">
        <v>88000</v>
      </c>
      <c r="K12" s="5" t="s">
        <v>9</v>
      </c>
      <c r="L12">
        <v>255000</v>
      </c>
    </row>
    <row r="13" spans="1:12" x14ac:dyDescent="0.35">
      <c r="A13" s="5" t="s">
        <v>111</v>
      </c>
      <c r="B13">
        <v>57000</v>
      </c>
      <c r="C13">
        <v>68000</v>
      </c>
      <c r="D13">
        <v>63000</v>
      </c>
      <c r="F13" s="5" t="s">
        <v>25</v>
      </c>
      <c r="G13">
        <v>242000</v>
      </c>
      <c r="H13">
        <v>286000</v>
      </c>
      <c r="I13">
        <v>269000</v>
      </c>
      <c r="K13" s="5" t="s">
        <v>19</v>
      </c>
      <c r="L13">
        <v>177000</v>
      </c>
    </row>
    <row r="14" spans="1:12" x14ac:dyDescent="0.35">
      <c r="A14" s="5" t="s">
        <v>58</v>
      </c>
      <c r="B14">
        <v>200000</v>
      </c>
      <c r="C14">
        <v>230000</v>
      </c>
      <c r="D14">
        <v>213000</v>
      </c>
      <c r="F14" s="5" t="s">
        <v>31</v>
      </c>
      <c r="G14">
        <v>289000</v>
      </c>
      <c r="H14">
        <v>342000</v>
      </c>
      <c r="I14">
        <v>315000</v>
      </c>
      <c r="K14" s="5" t="s">
        <v>43</v>
      </c>
      <c r="L14">
        <v>141000</v>
      </c>
    </row>
    <row r="15" spans="1:12" x14ac:dyDescent="0.35">
      <c r="A15" s="5" t="s">
        <v>105</v>
      </c>
      <c r="B15">
        <v>52000</v>
      </c>
      <c r="C15">
        <v>63000</v>
      </c>
      <c r="D15">
        <v>58000</v>
      </c>
      <c r="F15" s="5" t="s">
        <v>80</v>
      </c>
      <c r="G15">
        <v>82000</v>
      </c>
      <c r="H15">
        <v>99000</v>
      </c>
      <c r="I15">
        <v>91000</v>
      </c>
      <c r="K15" s="5" t="s">
        <v>28</v>
      </c>
      <c r="L15">
        <v>115000</v>
      </c>
    </row>
    <row r="16" spans="1:12" x14ac:dyDescent="0.35">
      <c r="A16" s="5" t="s">
        <v>97</v>
      </c>
      <c r="B16">
        <v>37000</v>
      </c>
      <c r="C16">
        <v>45000</v>
      </c>
      <c r="D16">
        <v>41000</v>
      </c>
      <c r="F16" s="5" t="s">
        <v>83</v>
      </c>
      <c r="G16">
        <v>193000</v>
      </c>
      <c r="H16">
        <v>230000</v>
      </c>
      <c r="I16">
        <v>209000</v>
      </c>
      <c r="K16" s="5" t="s">
        <v>126</v>
      </c>
      <c r="L16">
        <v>1837000</v>
      </c>
    </row>
    <row r="17" spans="1:9" x14ac:dyDescent="0.35">
      <c r="A17" s="5" t="s">
        <v>33</v>
      </c>
      <c r="B17">
        <v>61000</v>
      </c>
      <c r="C17">
        <v>76000</v>
      </c>
      <c r="D17">
        <v>69000</v>
      </c>
      <c r="F17" s="5" t="s">
        <v>47</v>
      </c>
      <c r="G17">
        <v>135000</v>
      </c>
      <c r="H17">
        <v>165000</v>
      </c>
      <c r="I17">
        <v>151000</v>
      </c>
    </row>
    <row r="18" spans="1:9" x14ac:dyDescent="0.35">
      <c r="A18" s="5" t="s">
        <v>52</v>
      </c>
      <c r="B18">
        <v>71000</v>
      </c>
      <c r="C18">
        <v>83000</v>
      </c>
      <c r="D18">
        <v>76000</v>
      </c>
      <c r="F18" s="5" t="s">
        <v>59</v>
      </c>
      <c r="G18">
        <v>457000</v>
      </c>
      <c r="H18">
        <v>537000</v>
      </c>
      <c r="I18">
        <v>496000</v>
      </c>
    </row>
    <row r="19" spans="1:9" x14ac:dyDescent="0.35">
      <c r="A19" s="5" t="s">
        <v>87</v>
      </c>
      <c r="B19">
        <v>54000</v>
      </c>
      <c r="C19">
        <v>65000</v>
      </c>
      <c r="D19">
        <v>60000</v>
      </c>
      <c r="F19" s="5" t="s">
        <v>68</v>
      </c>
      <c r="G19">
        <v>193000</v>
      </c>
      <c r="H19">
        <v>230000</v>
      </c>
      <c r="I19">
        <v>212000</v>
      </c>
    </row>
    <row r="20" spans="1:9" x14ac:dyDescent="0.35">
      <c r="A20" s="5" t="s">
        <v>88</v>
      </c>
      <c r="B20">
        <v>23000</v>
      </c>
      <c r="C20">
        <v>29000</v>
      </c>
      <c r="D20">
        <v>26000</v>
      </c>
      <c r="F20" s="5" t="s">
        <v>34</v>
      </c>
      <c r="G20">
        <v>205000</v>
      </c>
      <c r="H20">
        <v>251000</v>
      </c>
      <c r="I20">
        <v>228000</v>
      </c>
    </row>
    <row r="21" spans="1:9" x14ac:dyDescent="0.35">
      <c r="A21" s="5" t="s">
        <v>32</v>
      </c>
      <c r="B21">
        <v>65000</v>
      </c>
      <c r="C21">
        <v>75000</v>
      </c>
      <c r="D21">
        <v>69000</v>
      </c>
      <c r="F21" s="5" t="s">
        <v>20</v>
      </c>
      <c r="G21">
        <v>523000</v>
      </c>
      <c r="H21">
        <v>611000</v>
      </c>
      <c r="I21">
        <v>566000</v>
      </c>
    </row>
    <row r="22" spans="1:9" x14ac:dyDescent="0.35">
      <c r="A22" s="5" t="s">
        <v>64</v>
      </c>
      <c r="B22">
        <v>111000</v>
      </c>
      <c r="C22">
        <v>132000</v>
      </c>
      <c r="D22">
        <v>123000</v>
      </c>
      <c r="F22" s="5" t="s">
        <v>53</v>
      </c>
      <c r="G22">
        <v>130000</v>
      </c>
      <c r="H22">
        <v>152000</v>
      </c>
      <c r="I22">
        <v>140000</v>
      </c>
    </row>
    <row r="23" spans="1:9" x14ac:dyDescent="0.35">
      <c r="A23" s="5" t="s">
        <v>66</v>
      </c>
      <c r="B23">
        <v>61000</v>
      </c>
      <c r="C23">
        <v>73000</v>
      </c>
      <c r="D23">
        <v>68000</v>
      </c>
      <c r="F23" s="5" t="s">
        <v>41</v>
      </c>
      <c r="G23">
        <v>273000</v>
      </c>
      <c r="H23">
        <v>326000</v>
      </c>
      <c r="I23">
        <v>300000</v>
      </c>
    </row>
    <row r="24" spans="1:9" x14ac:dyDescent="0.35">
      <c r="A24" s="5" t="s">
        <v>54</v>
      </c>
      <c r="B24">
        <v>59000</v>
      </c>
      <c r="C24">
        <v>69000</v>
      </c>
      <c r="D24">
        <v>64000</v>
      </c>
      <c r="F24" s="5" t="s">
        <v>17</v>
      </c>
      <c r="G24">
        <v>403000</v>
      </c>
      <c r="H24">
        <v>473000</v>
      </c>
      <c r="I24">
        <v>435000</v>
      </c>
    </row>
    <row r="25" spans="1:9" x14ac:dyDescent="0.35">
      <c r="A25" s="5" t="s">
        <v>76</v>
      </c>
      <c r="B25">
        <v>30000</v>
      </c>
      <c r="C25">
        <v>38000</v>
      </c>
      <c r="D25">
        <v>34000</v>
      </c>
      <c r="F25" s="5" t="s">
        <v>65</v>
      </c>
      <c r="G25">
        <v>290000</v>
      </c>
      <c r="H25">
        <v>349000</v>
      </c>
      <c r="I25">
        <v>322000</v>
      </c>
    </row>
    <row r="26" spans="1:9" x14ac:dyDescent="0.35">
      <c r="A26" s="5" t="s">
        <v>14</v>
      </c>
      <c r="B26">
        <v>213000</v>
      </c>
      <c r="C26">
        <v>249000</v>
      </c>
      <c r="D26">
        <v>229000</v>
      </c>
      <c r="F26" s="5" t="s">
        <v>62</v>
      </c>
      <c r="G26">
        <v>426000</v>
      </c>
      <c r="H26">
        <v>499000</v>
      </c>
      <c r="I26">
        <v>459000</v>
      </c>
    </row>
    <row r="27" spans="1:9" x14ac:dyDescent="0.35">
      <c r="A27" s="5" t="s">
        <v>51</v>
      </c>
      <c r="B27">
        <v>87000</v>
      </c>
      <c r="C27">
        <v>102000</v>
      </c>
      <c r="D27">
        <v>95000</v>
      </c>
      <c r="F27" s="5" t="s">
        <v>10</v>
      </c>
      <c r="G27">
        <v>1002000</v>
      </c>
      <c r="H27">
        <v>1171000</v>
      </c>
      <c r="I27">
        <v>1096000</v>
      </c>
    </row>
    <row r="28" spans="1:9" x14ac:dyDescent="0.35">
      <c r="A28" s="5" t="s">
        <v>98</v>
      </c>
      <c r="B28">
        <v>96000</v>
      </c>
      <c r="C28">
        <v>112000</v>
      </c>
      <c r="D28">
        <v>104000</v>
      </c>
      <c r="F28" s="5" t="s">
        <v>77</v>
      </c>
      <c r="G28">
        <v>54000</v>
      </c>
      <c r="H28">
        <v>69000</v>
      </c>
      <c r="I28">
        <v>61000</v>
      </c>
    </row>
    <row r="29" spans="1:9" x14ac:dyDescent="0.35">
      <c r="A29" s="5" t="s">
        <v>45</v>
      </c>
      <c r="B29">
        <v>88000</v>
      </c>
      <c r="C29">
        <v>105000</v>
      </c>
      <c r="D29">
        <v>97000</v>
      </c>
      <c r="F29" s="5" t="s">
        <v>50</v>
      </c>
      <c r="G29">
        <v>373000</v>
      </c>
      <c r="H29">
        <v>442000</v>
      </c>
      <c r="I29">
        <v>406000</v>
      </c>
    </row>
    <row r="30" spans="1:9" x14ac:dyDescent="0.35">
      <c r="A30" s="5" t="s">
        <v>121</v>
      </c>
      <c r="B30">
        <v>57000</v>
      </c>
      <c r="C30">
        <v>69000</v>
      </c>
      <c r="D30">
        <v>63000</v>
      </c>
      <c r="F30" s="5" t="s">
        <v>126</v>
      </c>
      <c r="G30">
        <v>6255000</v>
      </c>
      <c r="H30">
        <v>7408000</v>
      </c>
      <c r="I30">
        <v>6835000</v>
      </c>
    </row>
    <row r="31" spans="1:9" x14ac:dyDescent="0.35">
      <c r="A31" s="5" t="s">
        <v>30</v>
      </c>
      <c r="B31">
        <v>72000</v>
      </c>
      <c r="C31">
        <v>85000</v>
      </c>
      <c r="D31">
        <v>78000</v>
      </c>
    </row>
    <row r="32" spans="1:9" x14ac:dyDescent="0.35">
      <c r="A32" s="5" t="s">
        <v>55</v>
      </c>
      <c r="B32">
        <v>31000</v>
      </c>
      <c r="C32">
        <v>39000</v>
      </c>
      <c r="D32">
        <v>35000</v>
      </c>
    </row>
    <row r="33" spans="1:4" x14ac:dyDescent="0.35">
      <c r="A33" s="5" t="s">
        <v>118</v>
      </c>
      <c r="B33">
        <v>37000</v>
      </c>
      <c r="C33">
        <v>45000</v>
      </c>
      <c r="D33">
        <v>41000</v>
      </c>
    </row>
    <row r="34" spans="1:4" x14ac:dyDescent="0.35">
      <c r="A34" s="5" t="s">
        <v>78</v>
      </c>
      <c r="B34">
        <v>24000</v>
      </c>
      <c r="C34">
        <v>31000</v>
      </c>
      <c r="D34">
        <v>27000</v>
      </c>
    </row>
    <row r="35" spans="1:4" x14ac:dyDescent="0.35">
      <c r="A35" s="5" t="s">
        <v>107</v>
      </c>
      <c r="B35">
        <v>53000</v>
      </c>
      <c r="C35">
        <v>64000</v>
      </c>
      <c r="D35">
        <v>59000</v>
      </c>
    </row>
    <row r="36" spans="1:4" x14ac:dyDescent="0.35">
      <c r="A36" s="5" t="s">
        <v>110</v>
      </c>
      <c r="B36">
        <v>68000</v>
      </c>
      <c r="C36">
        <v>81000</v>
      </c>
      <c r="D36">
        <v>74000</v>
      </c>
    </row>
    <row r="37" spans="1:4" x14ac:dyDescent="0.35">
      <c r="A37" s="5" t="s">
        <v>61</v>
      </c>
      <c r="B37">
        <v>263000</v>
      </c>
      <c r="C37">
        <v>305000</v>
      </c>
      <c r="D37">
        <v>280000</v>
      </c>
    </row>
    <row r="38" spans="1:4" x14ac:dyDescent="0.35">
      <c r="A38" s="5" t="s">
        <v>35</v>
      </c>
      <c r="B38">
        <v>81000</v>
      </c>
      <c r="C38">
        <v>97000</v>
      </c>
      <c r="D38">
        <v>89000</v>
      </c>
    </row>
    <row r="39" spans="1:4" x14ac:dyDescent="0.35">
      <c r="A39" s="5" t="s">
        <v>117</v>
      </c>
      <c r="B39">
        <v>26000</v>
      </c>
      <c r="C39">
        <v>33000</v>
      </c>
      <c r="D39">
        <v>29000</v>
      </c>
    </row>
    <row r="40" spans="1:4" x14ac:dyDescent="0.35">
      <c r="A40" s="5" t="s">
        <v>16</v>
      </c>
      <c r="B40">
        <v>189000</v>
      </c>
      <c r="C40">
        <v>221000</v>
      </c>
      <c r="D40">
        <v>202000</v>
      </c>
    </row>
    <row r="41" spans="1:4" x14ac:dyDescent="0.35">
      <c r="A41" s="5" t="s">
        <v>102</v>
      </c>
      <c r="B41">
        <v>26000</v>
      </c>
      <c r="C41">
        <v>32000</v>
      </c>
      <c r="D41">
        <v>29000</v>
      </c>
    </row>
    <row r="42" spans="1:4" x14ac:dyDescent="0.35">
      <c r="A42" s="5" t="s">
        <v>84</v>
      </c>
      <c r="B42">
        <v>85000</v>
      </c>
      <c r="C42">
        <v>101000</v>
      </c>
      <c r="D42">
        <v>93000</v>
      </c>
    </row>
    <row r="43" spans="1:4" x14ac:dyDescent="0.35">
      <c r="A43" s="5" t="s">
        <v>48</v>
      </c>
      <c r="B43">
        <v>36000</v>
      </c>
      <c r="C43">
        <v>44000</v>
      </c>
      <c r="D43">
        <v>40000</v>
      </c>
    </row>
    <row r="44" spans="1:4" x14ac:dyDescent="0.35">
      <c r="A44" s="5" t="s">
        <v>73</v>
      </c>
      <c r="B44">
        <v>89000</v>
      </c>
      <c r="C44">
        <v>106000</v>
      </c>
      <c r="D44">
        <v>97000</v>
      </c>
    </row>
    <row r="45" spans="1:4" x14ac:dyDescent="0.35">
      <c r="A45" s="5" t="s">
        <v>12</v>
      </c>
      <c r="B45">
        <v>98000</v>
      </c>
      <c r="C45">
        <v>105000</v>
      </c>
      <c r="D45">
        <v>112000</v>
      </c>
    </row>
    <row r="46" spans="1:4" x14ac:dyDescent="0.35">
      <c r="A46" s="5" t="s">
        <v>115</v>
      </c>
      <c r="B46">
        <v>80000</v>
      </c>
      <c r="C46">
        <v>96000</v>
      </c>
      <c r="D46">
        <v>88000</v>
      </c>
    </row>
    <row r="47" spans="1:4" x14ac:dyDescent="0.35">
      <c r="A47" s="5" t="s">
        <v>67</v>
      </c>
      <c r="B47">
        <v>106000</v>
      </c>
      <c r="C47">
        <v>125000</v>
      </c>
      <c r="D47">
        <v>116000</v>
      </c>
    </row>
    <row r="48" spans="1:4" x14ac:dyDescent="0.35">
      <c r="A48" s="5" t="s">
        <v>94</v>
      </c>
      <c r="B48">
        <v>56000</v>
      </c>
      <c r="C48">
        <v>67000</v>
      </c>
      <c r="D48">
        <v>62000</v>
      </c>
    </row>
    <row r="49" spans="1:4" x14ac:dyDescent="0.35">
      <c r="A49" s="5" t="s">
        <v>49</v>
      </c>
      <c r="B49">
        <v>166000</v>
      </c>
      <c r="C49">
        <v>194000</v>
      </c>
      <c r="D49">
        <v>178000</v>
      </c>
    </row>
    <row r="50" spans="1:4" x14ac:dyDescent="0.35">
      <c r="A50" s="5" t="s">
        <v>75</v>
      </c>
      <c r="B50">
        <v>58000</v>
      </c>
      <c r="C50">
        <v>68000</v>
      </c>
      <c r="D50">
        <v>63000</v>
      </c>
    </row>
    <row r="51" spans="1:4" x14ac:dyDescent="0.35">
      <c r="A51" s="5" t="s">
        <v>69</v>
      </c>
      <c r="B51">
        <v>27000</v>
      </c>
      <c r="C51">
        <v>34000</v>
      </c>
      <c r="D51">
        <v>30000</v>
      </c>
    </row>
    <row r="52" spans="1:4" x14ac:dyDescent="0.35">
      <c r="A52" s="5" t="s">
        <v>9</v>
      </c>
      <c r="B52">
        <v>255000</v>
      </c>
      <c r="C52">
        <v>296000</v>
      </c>
      <c r="D52">
        <v>277000</v>
      </c>
    </row>
    <row r="53" spans="1:4" x14ac:dyDescent="0.35">
      <c r="A53" s="5" t="s">
        <v>42</v>
      </c>
      <c r="B53">
        <v>112000</v>
      </c>
      <c r="C53">
        <v>132000</v>
      </c>
      <c r="D53">
        <v>123000</v>
      </c>
    </row>
    <row r="54" spans="1:4" x14ac:dyDescent="0.35">
      <c r="A54" s="5" t="s">
        <v>112</v>
      </c>
      <c r="B54">
        <v>29000</v>
      </c>
      <c r="C54">
        <v>36000</v>
      </c>
      <c r="D54">
        <v>32000</v>
      </c>
    </row>
    <row r="55" spans="1:4" x14ac:dyDescent="0.35">
      <c r="A55" s="5" t="s">
        <v>81</v>
      </c>
      <c r="B55">
        <v>35000</v>
      </c>
      <c r="C55">
        <v>43000</v>
      </c>
      <c r="D55">
        <v>39000</v>
      </c>
    </row>
    <row r="56" spans="1:4" x14ac:dyDescent="0.35">
      <c r="A56" s="5" t="s">
        <v>109</v>
      </c>
      <c r="B56">
        <v>91000</v>
      </c>
      <c r="C56">
        <v>108000</v>
      </c>
      <c r="D56">
        <v>100000</v>
      </c>
    </row>
    <row r="57" spans="1:4" x14ac:dyDescent="0.35">
      <c r="A57" s="5" t="s">
        <v>91</v>
      </c>
      <c r="B57">
        <v>34000</v>
      </c>
      <c r="C57">
        <v>42000</v>
      </c>
      <c r="D57">
        <v>38000</v>
      </c>
    </row>
    <row r="58" spans="1:4" x14ac:dyDescent="0.35">
      <c r="A58" s="5" t="s">
        <v>39</v>
      </c>
      <c r="B58">
        <v>92000</v>
      </c>
      <c r="C58">
        <v>110000</v>
      </c>
      <c r="D58">
        <v>101000</v>
      </c>
    </row>
    <row r="59" spans="1:4" x14ac:dyDescent="0.35">
      <c r="A59" s="5" t="s">
        <v>19</v>
      </c>
      <c r="B59">
        <v>177000</v>
      </c>
      <c r="C59">
        <v>203000</v>
      </c>
      <c r="D59">
        <v>187000</v>
      </c>
    </row>
    <row r="60" spans="1:4" x14ac:dyDescent="0.35">
      <c r="A60" s="5" t="s">
        <v>104</v>
      </c>
      <c r="B60">
        <v>81000</v>
      </c>
      <c r="C60">
        <v>97000</v>
      </c>
      <c r="D60">
        <v>89000</v>
      </c>
    </row>
    <row r="61" spans="1:4" x14ac:dyDescent="0.35">
      <c r="A61" s="5" t="s">
        <v>60</v>
      </c>
      <c r="B61">
        <v>41000</v>
      </c>
      <c r="C61">
        <v>50000</v>
      </c>
      <c r="D61">
        <v>46000</v>
      </c>
    </row>
    <row r="62" spans="1:4" x14ac:dyDescent="0.35">
      <c r="A62" s="5" t="s">
        <v>36</v>
      </c>
      <c r="B62">
        <v>51000</v>
      </c>
      <c r="C62">
        <v>61000</v>
      </c>
      <c r="D62">
        <v>57000</v>
      </c>
    </row>
    <row r="63" spans="1:4" x14ac:dyDescent="0.35">
      <c r="A63" s="5" t="s">
        <v>37</v>
      </c>
      <c r="B63">
        <v>39000</v>
      </c>
      <c r="C63">
        <v>47000</v>
      </c>
      <c r="D63">
        <v>43000</v>
      </c>
    </row>
    <row r="64" spans="1:4" x14ac:dyDescent="0.35">
      <c r="A64" s="5" t="s">
        <v>29</v>
      </c>
      <c r="B64">
        <v>105000</v>
      </c>
      <c r="C64">
        <v>125000</v>
      </c>
      <c r="D64">
        <v>118000</v>
      </c>
    </row>
    <row r="65" spans="1:4" x14ac:dyDescent="0.35">
      <c r="A65" s="5" t="s">
        <v>89</v>
      </c>
      <c r="B65">
        <v>45000</v>
      </c>
      <c r="C65">
        <v>55000</v>
      </c>
      <c r="D65">
        <v>50000</v>
      </c>
    </row>
    <row r="66" spans="1:4" x14ac:dyDescent="0.35">
      <c r="A66" s="5" t="s">
        <v>99</v>
      </c>
      <c r="B66">
        <v>66000</v>
      </c>
      <c r="C66">
        <v>79000</v>
      </c>
      <c r="D66">
        <v>72000</v>
      </c>
    </row>
    <row r="67" spans="1:4" x14ac:dyDescent="0.35">
      <c r="A67" s="5" t="s">
        <v>101</v>
      </c>
      <c r="B67">
        <v>30000</v>
      </c>
      <c r="C67">
        <v>38000</v>
      </c>
      <c r="D67">
        <v>34000</v>
      </c>
    </row>
    <row r="68" spans="1:4" x14ac:dyDescent="0.35">
      <c r="A68" s="5" t="s">
        <v>43</v>
      </c>
      <c r="B68">
        <v>141000</v>
      </c>
      <c r="C68">
        <v>168000</v>
      </c>
      <c r="D68">
        <v>153000</v>
      </c>
    </row>
    <row r="69" spans="1:4" x14ac:dyDescent="0.35">
      <c r="A69" s="5" t="s">
        <v>119</v>
      </c>
      <c r="B69">
        <v>94000</v>
      </c>
      <c r="C69">
        <v>111000</v>
      </c>
      <c r="D69">
        <v>103000</v>
      </c>
    </row>
    <row r="70" spans="1:4" x14ac:dyDescent="0.35">
      <c r="A70" s="5" t="s">
        <v>22</v>
      </c>
      <c r="B70">
        <v>28000</v>
      </c>
      <c r="C70">
        <v>33000</v>
      </c>
      <c r="D70">
        <v>31000</v>
      </c>
    </row>
    <row r="71" spans="1:4" x14ac:dyDescent="0.35">
      <c r="A71" s="5" t="s">
        <v>85</v>
      </c>
      <c r="B71">
        <v>65000</v>
      </c>
      <c r="C71">
        <v>77000</v>
      </c>
      <c r="D71">
        <v>71000</v>
      </c>
    </row>
    <row r="72" spans="1:4" x14ac:dyDescent="0.35">
      <c r="A72" s="5" t="s">
        <v>96</v>
      </c>
      <c r="B72">
        <v>49000</v>
      </c>
      <c r="C72">
        <v>60000</v>
      </c>
      <c r="D72">
        <v>55000</v>
      </c>
    </row>
    <row r="73" spans="1:4" x14ac:dyDescent="0.35">
      <c r="A73" s="5" t="s">
        <v>46</v>
      </c>
      <c r="B73">
        <v>76000</v>
      </c>
      <c r="C73">
        <v>92000</v>
      </c>
      <c r="D73">
        <v>85000</v>
      </c>
    </row>
    <row r="74" spans="1:4" x14ac:dyDescent="0.35">
      <c r="A74" s="5" t="s">
        <v>100</v>
      </c>
      <c r="B74">
        <v>55000</v>
      </c>
      <c r="C74">
        <v>66000</v>
      </c>
      <c r="D74">
        <v>61000</v>
      </c>
    </row>
    <row r="75" spans="1:4" x14ac:dyDescent="0.35">
      <c r="A75" s="5" t="s">
        <v>113</v>
      </c>
      <c r="B75">
        <v>51000</v>
      </c>
      <c r="C75">
        <v>62000</v>
      </c>
      <c r="D75">
        <v>57000</v>
      </c>
    </row>
    <row r="76" spans="1:4" x14ac:dyDescent="0.35">
      <c r="A76" s="5" t="s">
        <v>79</v>
      </c>
      <c r="B76">
        <v>47000</v>
      </c>
      <c r="C76">
        <v>56000</v>
      </c>
      <c r="D76">
        <v>52000</v>
      </c>
    </row>
    <row r="77" spans="1:4" x14ac:dyDescent="0.35">
      <c r="A77" s="5" t="s">
        <v>57</v>
      </c>
      <c r="B77">
        <v>26000</v>
      </c>
      <c r="C77">
        <v>32000</v>
      </c>
      <c r="D77">
        <v>30000</v>
      </c>
    </row>
    <row r="78" spans="1:4" x14ac:dyDescent="0.35">
      <c r="A78" s="5" t="s">
        <v>106</v>
      </c>
      <c r="B78">
        <v>28000</v>
      </c>
      <c r="C78">
        <v>35000</v>
      </c>
      <c r="D78">
        <v>31000</v>
      </c>
    </row>
    <row r="79" spans="1:4" x14ac:dyDescent="0.35">
      <c r="A79" s="5" t="s">
        <v>82</v>
      </c>
      <c r="B79">
        <v>108000</v>
      </c>
      <c r="C79">
        <v>129000</v>
      </c>
      <c r="D79">
        <v>116000</v>
      </c>
    </row>
    <row r="80" spans="1:4" x14ac:dyDescent="0.35">
      <c r="A80" s="5" t="s">
        <v>27</v>
      </c>
      <c r="B80">
        <v>74000</v>
      </c>
      <c r="C80">
        <v>89000</v>
      </c>
      <c r="D80">
        <v>81000</v>
      </c>
    </row>
    <row r="81" spans="1:4" x14ac:dyDescent="0.35">
      <c r="A81" s="5" t="s">
        <v>92</v>
      </c>
      <c r="B81">
        <v>102000</v>
      </c>
      <c r="C81">
        <v>118000</v>
      </c>
      <c r="D81">
        <v>110000</v>
      </c>
    </row>
    <row r="82" spans="1:4" x14ac:dyDescent="0.35">
      <c r="A82" s="5" t="s">
        <v>116</v>
      </c>
      <c r="B82">
        <v>60000</v>
      </c>
      <c r="C82">
        <v>71000</v>
      </c>
      <c r="D82">
        <v>66000</v>
      </c>
    </row>
    <row r="83" spans="1:4" x14ac:dyDescent="0.35">
      <c r="A83" s="5" t="s">
        <v>114</v>
      </c>
      <c r="B83">
        <v>38000</v>
      </c>
      <c r="C83">
        <v>46000</v>
      </c>
      <c r="D83">
        <v>42000</v>
      </c>
    </row>
    <row r="84" spans="1:4" x14ac:dyDescent="0.35">
      <c r="A84" s="5" t="s">
        <v>74</v>
      </c>
      <c r="B84">
        <v>67000</v>
      </c>
      <c r="C84">
        <v>78000</v>
      </c>
      <c r="D84">
        <v>73000</v>
      </c>
    </row>
    <row r="85" spans="1:4" x14ac:dyDescent="0.35">
      <c r="A85" s="5" t="s">
        <v>95</v>
      </c>
      <c r="B85">
        <v>27000</v>
      </c>
      <c r="C85">
        <v>34000</v>
      </c>
      <c r="D85">
        <v>30000</v>
      </c>
    </row>
    <row r="86" spans="1:4" x14ac:dyDescent="0.35">
      <c r="A86" s="5" t="s">
        <v>28</v>
      </c>
      <c r="B86">
        <v>115000</v>
      </c>
      <c r="C86">
        <v>135000</v>
      </c>
      <c r="D86">
        <v>121000</v>
      </c>
    </row>
    <row r="87" spans="1:4" x14ac:dyDescent="0.35">
      <c r="A87" s="5" t="s">
        <v>70</v>
      </c>
      <c r="B87">
        <v>52000</v>
      </c>
      <c r="C87">
        <v>63000</v>
      </c>
      <c r="D87">
        <v>58000</v>
      </c>
    </row>
    <row r="88" spans="1:4" x14ac:dyDescent="0.35">
      <c r="A88" s="5" t="s">
        <v>72</v>
      </c>
      <c r="B88">
        <v>38000</v>
      </c>
      <c r="C88">
        <v>46000</v>
      </c>
      <c r="D88">
        <v>42000</v>
      </c>
    </row>
    <row r="89" spans="1:4" x14ac:dyDescent="0.35">
      <c r="A89" s="5" t="s">
        <v>63</v>
      </c>
      <c r="B89">
        <v>83000</v>
      </c>
      <c r="C89">
        <v>98000</v>
      </c>
      <c r="D89">
        <v>91000</v>
      </c>
    </row>
    <row r="90" spans="1:4" x14ac:dyDescent="0.35">
      <c r="A90" s="5" t="s">
        <v>126</v>
      </c>
      <c r="B90">
        <v>6255000</v>
      </c>
      <c r="C90">
        <v>7408000</v>
      </c>
      <c r="D90">
        <v>6835000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E76D-0930-44D4-AB09-B6FE54F68B0B}">
  <dimension ref="A2:X2"/>
  <sheetViews>
    <sheetView workbookViewId="0">
      <selection activeCell="A3" sqref="A3"/>
    </sheetView>
  </sheetViews>
  <sheetFormatPr defaultRowHeight="14.5" x14ac:dyDescent="0.35"/>
  <cols>
    <col min="1" max="1" width="12.26953125" bestFit="1" customWidth="1"/>
    <col min="2" max="2" width="5.08984375" bestFit="1" customWidth="1"/>
    <col min="3" max="3" width="9" bestFit="1" customWidth="1"/>
    <col min="4" max="4" width="11.6328125" bestFit="1" customWidth="1"/>
    <col min="5" max="5" width="7" bestFit="1" customWidth="1"/>
    <col min="6" max="6" width="7.81640625" bestFit="1" customWidth="1"/>
    <col min="7" max="7" width="10.36328125" bestFit="1" customWidth="1"/>
    <col min="8" max="8" width="14.90625" bestFit="1" customWidth="1"/>
    <col min="9" max="9" width="6.54296875" bestFit="1" customWidth="1"/>
    <col min="10" max="10" width="5.1796875" bestFit="1" customWidth="1"/>
    <col min="11" max="11" width="9.453125" bestFit="1" customWidth="1"/>
    <col min="12" max="12" width="11.08984375" bestFit="1" customWidth="1"/>
    <col min="13" max="13" width="6.6328125" bestFit="1" customWidth="1"/>
    <col min="14" max="14" width="6.26953125" bestFit="1" customWidth="1"/>
    <col min="15" max="15" width="9.1796875" bestFit="1" customWidth="1"/>
    <col min="16" max="16" width="9.36328125" bestFit="1" customWidth="1"/>
    <col min="17" max="17" width="10.26953125" bestFit="1" customWidth="1"/>
    <col min="18" max="18" width="6" bestFit="1" customWidth="1"/>
    <col min="19" max="19" width="14.26953125" bestFit="1" customWidth="1"/>
    <col min="20" max="20" width="11.26953125" bestFit="1" customWidth="1"/>
    <col min="21" max="21" width="15.81640625" bestFit="1" customWidth="1"/>
    <col min="22" max="22" width="15.90625" bestFit="1" customWidth="1"/>
    <col min="23" max="23" width="11.36328125" bestFit="1" customWidth="1"/>
    <col min="24" max="24" width="4.1796875" bestFit="1" customWidth="1"/>
  </cols>
  <sheetData>
    <row r="2" spans="1:24" x14ac:dyDescent="0.35">
      <c r="A2" t="s">
        <v>10</v>
      </c>
      <c r="B2" t="s">
        <v>14</v>
      </c>
      <c r="C2" t="s">
        <v>17</v>
      </c>
      <c r="D2" t="s">
        <v>20</v>
      </c>
      <c r="E2" t="s">
        <v>25</v>
      </c>
      <c r="F2" t="s">
        <v>31</v>
      </c>
      <c r="G2" t="s">
        <v>32</v>
      </c>
      <c r="H2" t="s">
        <v>34</v>
      </c>
      <c r="I2" t="s">
        <v>41</v>
      </c>
      <c r="J2" t="s">
        <v>44</v>
      </c>
      <c r="K2" t="s">
        <v>47</v>
      </c>
      <c r="L2" t="s">
        <v>50</v>
      </c>
      <c r="M2" t="s">
        <v>53</v>
      </c>
      <c r="N2" t="s">
        <v>56</v>
      </c>
      <c r="O2" t="s">
        <v>59</v>
      </c>
      <c r="P2" t="s">
        <v>62</v>
      </c>
      <c r="Q2" t="s">
        <v>65</v>
      </c>
      <c r="R2" t="s">
        <v>68</v>
      </c>
      <c r="S2" t="s">
        <v>71</v>
      </c>
      <c r="T2" t="s">
        <v>77</v>
      </c>
      <c r="U2" t="s">
        <v>80</v>
      </c>
      <c r="V2" t="s">
        <v>83</v>
      </c>
      <c r="W2" t="s">
        <v>86</v>
      </c>
      <c r="X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Vidhi Singh</dc:creator>
  <cp:lastModifiedBy>Vidhi Singh</cp:lastModifiedBy>
  <dcterms:created xsi:type="dcterms:W3CDTF">2026-08-31T15:38:53Z</dcterms:created>
  <dcterms:modified xsi:type="dcterms:W3CDTF">2026-08-31T17:40:55Z</dcterms:modified>
</cp:coreProperties>
</file>